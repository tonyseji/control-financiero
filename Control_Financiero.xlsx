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71" documentId="11_9941536542EB3A54210422CFAA09C2D648212E4C" xr6:coauthVersionLast="47" xr6:coauthVersionMax="47" xr10:uidLastSave="{C4130ECB-2B85-4B8D-A4CF-D9C0A05DB986}"/>
  <bookViews>
    <workbookView xWindow="0" yWindow="0" windowWidth="28800" windowHeight="12315" xr2:uid="{00000000-000D-0000-FFFF-FFFF00000000}"/>
  </bookViews>
  <sheets>
    <sheet name="Movimientos" sheetId="1" r:id="rId1"/>
    <sheet name="Panel_Mensual" sheetId="3" r:id="rId2"/>
    <sheet name="Dashboard" sheetId="6" r:id="rId3"/>
    <sheet name="Resumen_12m" sheetId="5" r:id="rId4"/>
    <sheet name="Parametros" sheetId="2" r:id="rId5"/>
    <sheet name="Listas" sheetId="4" r:id="rId6"/>
  </sheets>
  <definedNames>
    <definedName name="Ahorro_rng">Listas!$E$2:$E$200</definedName>
    <definedName name="Cuentas_rng">Listas!$G$2:$G$100</definedName>
    <definedName name="Fijo_rng">Listas!$C$2:$C$197</definedName>
    <definedName name="Ingreso_rng">Listas!$B$2:$B$200</definedName>
    <definedName name="Inversion_rng">Listas!$F$2:$F$200</definedName>
    <definedName name="Tipos_rng">Listas!$I$2:$I$6</definedName>
    <definedName name="Variable_rng">Listas!$D$2:$D$199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2" i="1" l="1"/>
  <c r="B221" i="1"/>
  <c r="B220" i="1"/>
  <c r="B218" i="1" l="1"/>
  <c r="B211" i="1"/>
  <c r="B190" i="1" l="1"/>
  <c r="B194" i="1" l="1"/>
  <c r="B192" i="1"/>
  <c r="B191" i="1"/>
  <c r="B186" i="1"/>
  <c r="B183" i="1" l="1"/>
  <c r="B182" i="1"/>
  <c r="B160" i="1" l="1"/>
  <c r="B152" i="1"/>
  <c r="B133" i="1" l="1"/>
  <c r="B130" i="1"/>
  <c r="B123" i="1" l="1"/>
  <c r="B119" i="1" l="1"/>
  <c r="B118" i="1"/>
  <c r="B113" i="1"/>
  <c r="B112" i="1"/>
  <c r="B110" i="1"/>
  <c r="B109" i="1"/>
  <c r="B95" i="1" l="1"/>
  <c r="B94" i="1"/>
  <c r="B97" i="1"/>
  <c r="B96" i="1"/>
  <c r="B39" i="1" l="1"/>
  <c r="B42" i="1"/>
  <c r="B49" i="1"/>
  <c r="B47" i="1"/>
  <c r="B44" i="1"/>
  <c r="B6" i="1" l="1"/>
  <c r="B32" i="1" l="1"/>
  <c r="B33" i="1"/>
  <c r="B5" i="1" l="1"/>
  <c r="B27" i="1" l="1"/>
  <c r="B3" i="3" l="1"/>
  <c r="B12" i="1" l="1"/>
  <c r="B7" i="1" l="1"/>
  <c r="B4" i="1" l="1"/>
  <c r="B9" i="1"/>
  <c r="B8" i="1"/>
  <c r="B10" i="1"/>
  <c r="B11" i="1"/>
  <c r="B13" i="1"/>
  <c r="B14" i="1"/>
  <c r="B15" i="1"/>
  <c r="B16" i="1"/>
  <c r="B17" i="1"/>
  <c r="B18" i="1"/>
  <c r="B19" i="1"/>
  <c r="B3" i="1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6" i="3"/>
  <c r="B5" i="3"/>
  <c r="B4" i="3"/>
  <c r="C7" i="2"/>
  <c r="D7" i="2" s="1"/>
  <c r="C6" i="2"/>
  <c r="D6" i="2" s="1"/>
  <c r="C5" i="2"/>
  <c r="D5" i="2" s="1"/>
  <c r="C4" i="2"/>
  <c r="D4" i="2" s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29" i="1"/>
  <c r="B233" i="1"/>
  <c r="B232" i="1"/>
  <c r="B231" i="1"/>
  <c r="B230" i="1"/>
  <c r="B227" i="1"/>
  <c r="B226" i="1"/>
  <c r="B219" i="1"/>
  <c r="B228" i="1"/>
  <c r="B225" i="1"/>
  <c r="B224" i="1"/>
  <c r="B223" i="1"/>
  <c r="B217" i="1"/>
  <c r="B215" i="1"/>
  <c r="B216" i="1"/>
  <c r="B214" i="1"/>
  <c r="B213" i="1"/>
  <c r="B212" i="1"/>
  <c r="B210" i="1"/>
  <c r="B209" i="1"/>
  <c r="B208" i="1"/>
  <c r="B207" i="1"/>
  <c r="B206" i="1"/>
  <c r="B204" i="1"/>
  <c r="B205" i="1"/>
  <c r="B202" i="1"/>
  <c r="B201" i="1"/>
  <c r="B200" i="1"/>
  <c r="B203" i="1"/>
  <c r="B199" i="1"/>
  <c r="B198" i="1"/>
  <c r="B196" i="1"/>
  <c r="B195" i="1"/>
  <c r="B197" i="1"/>
  <c r="B193" i="1"/>
  <c r="B188" i="1"/>
  <c r="B189" i="1"/>
  <c r="B187" i="1"/>
  <c r="B185" i="1"/>
  <c r="B180" i="1"/>
  <c r="B179" i="1"/>
  <c r="B184" i="1"/>
  <c r="B181" i="1"/>
  <c r="B178" i="1"/>
  <c r="B177" i="1"/>
  <c r="B176" i="1"/>
  <c r="B175" i="1"/>
  <c r="B174" i="1"/>
  <c r="B173" i="1"/>
  <c r="B172" i="1"/>
  <c r="B171" i="1"/>
  <c r="B170" i="1"/>
  <c r="B169" i="1"/>
  <c r="B166" i="1"/>
  <c r="B168" i="1"/>
  <c r="B167" i="1"/>
  <c r="B165" i="1"/>
  <c r="B164" i="1"/>
  <c r="B163" i="1"/>
  <c r="B162" i="1"/>
  <c r="B159" i="1"/>
  <c r="B158" i="1"/>
  <c r="B161" i="1"/>
  <c r="B157" i="1"/>
  <c r="B156" i="1"/>
  <c r="B155" i="1"/>
  <c r="B154" i="1"/>
  <c r="B148" i="1"/>
  <c r="B151" i="1"/>
  <c r="B150" i="1"/>
  <c r="B149" i="1"/>
  <c r="B147" i="1"/>
  <c r="B146" i="1"/>
  <c r="B145" i="1"/>
  <c r="B144" i="1"/>
  <c r="B143" i="1"/>
  <c r="B142" i="1"/>
  <c r="B141" i="1"/>
  <c r="B140" i="1"/>
  <c r="B139" i="1"/>
  <c r="B153" i="1"/>
  <c r="B138" i="1"/>
  <c r="B137" i="1"/>
  <c r="B136" i="1"/>
  <c r="B135" i="1"/>
  <c r="B134" i="1"/>
  <c r="B131" i="1"/>
  <c r="B132" i="1"/>
  <c r="B122" i="1"/>
  <c r="B129" i="1"/>
  <c r="B128" i="1"/>
  <c r="B127" i="1"/>
  <c r="B126" i="1"/>
  <c r="B125" i="1"/>
  <c r="B124" i="1"/>
  <c r="B121" i="1"/>
  <c r="B120" i="1"/>
  <c r="B80" i="1"/>
  <c r="B114" i="1"/>
  <c r="B117" i="1"/>
  <c r="B116" i="1"/>
  <c r="B115" i="1"/>
  <c r="B111" i="1"/>
  <c r="B108" i="1"/>
  <c r="B107" i="1"/>
  <c r="B106" i="1"/>
  <c r="B101" i="1"/>
  <c r="B105" i="1"/>
  <c r="B104" i="1"/>
  <c r="B103" i="1"/>
  <c r="B102" i="1"/>
  <c r="B100" i="1"/>
  <c r="B99" i="1"/>
  <c r="B98" i="1"/>
  <c r="B90" i="1"/>
  <c r="B93" i="1"/>
  <c r="B92" i="1"/>
  <c r="B84" i="1"/>
  <c r="B91" i="1"/>
  <c r="B89" i="1"/>
  <c r="B88" i="1"/>
  <c r="B87" i="1"/>
  <c r="B86" i="1"/>
  <c r="B85" i="1"/>
  <c r="B83" i="1"/>
  <c r="B82" i="1"/>
  <c r="B81" i="1"/>
  <c r="B77" i="1"/>
  <c r="B79" i="1"/>
  <c r="B78" i="1"/>
  <c r="B74" i="1"/>
  <c r="B73" i="1"/>
  <c r="B76" i="1"/>
  <c r="B75" i="1"/>
  <c r="B72" i="1"/>
  <c r="B68" i="1"/>
  <c r="B71" i="1"/>
  <c r="B70" i="1"/>
  <c r="B69" i="1"/>
  <c r="B67" i="1"/>
  <c r="B66" i="1"/>
  <c r="B65" i="1"/>
  <c r="B64" i="1"/>
  <c r="B63" i="1"/>
  <c r="B62" i="1"/>
  <c r="B61" i="1"/>
  <c r="B43" i="1"/>
  <c r="B60" i="1"/>
  <c r="B45" i="1"/>
  <c r="B58" i="1"/>
  <c r="B59" i="1"/>
  <c r="B37" i="1"/>
  <c r="B57" i="1"/>
  <c r="B56" i="1"/>
  <c r="B55" i="1"/>
  <c r="B54" i="1"/>
  <c r="B53" i="1"/>
  <c r="B52" i="1"/>
  <c r="B51" i="1"/>
  <c r="B50" i="1"/>
  <c r="B48" i="1"/>
  <c r="B46" i="1"/>
  <c r="B41" i="1"/>
  <c r="B40" i="1"/>
  <c r="B38" i="1"/>
  <c r="B36" i="1"/>
  <c r="B35" i="1"/>
  <c r="B34" i="1"/>
  <c r="B30" i="1"/>
  <c r="B29" i="1"/>
  <c r="B31" i="1"/>
  <c r="B28" i="1"/>
  <c r="B26" i="1"/>
  <c r="B25" i="1"/>
  <c r="B24" i="1"/>
  <c r="B23" i="1"/>
  <c r="B22" i="1"/>
  <c r="B21" i="1"/>
  <c r="B20" i="1"/>
  <c r="B2" i="1"/>
  <c r="D2" i="5" l="1"/>
  <c r="D14" i="5"/>
  <c r="D15" i="5"/>
  <c r="D4" i="5"/>
  <c r="D16" i="5"/>
  <c r="C3" i="5"/>
  <c r="C17" i="5"/>
  <c r="E17" i="5"/>
  <c r="C6" i="5"/>
  <c r="E18" i="5"/>
  <c r="C7" i="5"/>
  <c r="E19" i="5"/>
  <c r="E8" i="5"/>
  <c r="B20" i="5"/>
  <c r="E9" i="5"/>
  <c r="E21" i="5"/>
  <c r="C10" i="5"/>
  <c r="D22" i="5"/>
  <c r="E11" i="5"/>
  <c r="E23" i="5"/>
  <c r="E12" i="5"/>
  <c r="E24" i="5"/>
  <c r="D13" i="5"/>
  <c r="E25" i="5"/>
  <c r="E5" i="5"/>
  <c r="B8" i="5"/>
  <c r="D10" i="5"/>
  <c r="C15" i="5"/>
  <c r="D3" i="5"/>
  <c r="C8" i="5"/>
  <c r="E10" i="5"/>
  <c r="B13" i="5"/>
  <c r="C20" i="5"/>
  <c r="E22" i="5"/>
  <c r="B25" i="5"/>
  <c r="C10" i="3"/>
  <c r="E3" i="5"/>
  <c r="B6" i="5"/>
  <c r="D8" i="5"/>
  <c r="C13" i="5"/>
  <c r="E15" i="5"/>
  <c r="B18" i="5"/>
  <c r="D20" i="5"/>
  <c r="C25" i="5"/>
  <c r="C5" i="3"/>
  <c r="M8" i="6" s="1"/>
  <c r="B11" i="5"/>
  <c r="C18" i="5"/>
  <c r="E20" i="5"/>
  <c r="B23" i="5"/>
  <c r="D25" i="5"/>
  <c r="B4" i="5"/>
  <c r="D6" i="5"/>
  <c r="C11" i="5"/>
  <c r="E13" i="5"/>
  <c r="B16" i="5"/>
  <c r="D18" i="5"/>
  <c r="C23" i="5"/>
  <c r="E6" i="5"/>
  <c r="B9" i="5"/>
  <c r="D11" i="5"/>
  <c r="C16" i="5"/>
  <c r="B21" i="5"/>
  <c r="D23" i="5"/>
  <c r="C3" i="3"/>
  <c r="C4" i="5"/>
  <c r="B2" i="5"/>
  <c r="C9" i="5"/>
  <c r="B14" i="5"/>
  <c r="C21" i="5"/>
  <c r="C2" i="5"/>
  <c r="E4" i="5"/>
  <c r="B7" i="5"/>
  <c r="D9" i="5"/>
  <c r="C14" i="5"/>
  <c r="E16" i="5"/>
  <c r="B19" i="5"/>
  <c r="D21" i="5"/>
  <c r="C6" i="3"/>
  <c r="B12" i="5"/>
  <c r="C19" i="5"/>
  <c r="B24" i="5"/>
  <c r="E2" i="5"/>
  <c r="B5" i="5"/>
  <c r="D7" i="5"/>
  <c r="C12" i="5"/>
  <c r="E14" i="5"/>
  <c r="B17" i="5"/>
  <c r="D19" i="5"/>
  <c r="C24" i="5"/>
  <c r="C4" i="3"/>
  <c r="H8" i="6" s="1"/>
  <c r="C5" i="5"/>
  <c r="E7" i="5"/>
  <c r="B10" i="5"/>
  <c r="D12" i="5"/>
  <c r="B22" i="5"/>
  <c r="D24" i="5"/>
  <c r="B3" i="5"/>
  <c r="D5" i="5"/>
  <c r="B15" i="5"/>
  <c r="D17" i="5"/>
  <c r="C22" i="5"/>
  <c r="C8" i="3"/>
  <c r="J24" i="5" l="1"/>
  <c r="J23" i="5"/>
  <c r="I24" i="5"/>
  <c r="I23" i="5"/>
  <c r="K24" i="5"/>
  <c r="K23" i="5"/>
  <c r="C4" i="6"/>
  <c r="R8" i="6"/>
  <c r="D6" i="3"/>
  <c r="F16" i="6" s="1"/>
  <c r="C8" i="6"/>
  <c r="E3" i="3"/>
  <c r="C9" i="3"/>
  <c r="H4" i="6" s="1"/>
  <c r="D5" i="3"/>
  <c r="F15" i="6" s="1"/>
  <c r="M4" i="6"/>
  <c r="E4" i="3"/>
  <c r="E6" i="3"/>
  <c r="E5" i="3"/>
  <c r="D4" i="3"/>
  <c r="F14" i="6" s="1"/>
  <c r="D3" i="3"/>
  <c r="F13" i="6" s="1"/>
  <c r="C11" i="3" l="1"/>
  <c r="E14" i="6"/>
  <c r="F4" i="3"/>
  <c r="G14" i="6" s="1"/>
  <c r="F3" i="3"/>
  <c r="G13" i="6" s="1"/>
  <c r="E13" i="6"/>
  <c r="C12" i="3"/>
  <c r="R4" i="6" s="1"/>
  <c r="F6" i="3"/>
  <c r="G16" i="6" s="1"/>
  <c r="E16" i="6"/>
  <c r="E15" i="6"/>
  <c r="F5" i="3"/>
  <c r="G15" i="6" s="1"/>
</calcChain>
</file>

<file path=xl/sharedStrings.xml><?xml version="1.0" encoding="utf-8"?>
<sst xmlns="http://schemas.openxmlformats.org/spreadsheetml/2006/main" count="968" uniqueCount="176">
  <si>
    <t>Fecha</t>
  </si>
  <si>
    <t>Mes</t>
  </si>
  <si>
    <t>Tipo</t>
  </si>
  <si>
    <t>Subcategoría</t>
  </si>
  <si>
    <t>Concepto</t>
  </si>
  <si>
    <t>Cuenta</t>
  </si>
  <si>
    <t>Monto (€)</t>
  </si>
  <si>
    <t>Ingreso</t>
  </si>
  <si>
    <t>Nómina / Sueldo</t>
  </si>
  <si>
    <t>Sueldo mensual</t>
  </si>
  <si>
    <t>Cuenta principal</t>
  </si>
  <si>
    <t>Gasto fijo</t>
  </si>
  <si>
    <t>Alquiler / Hipoteca</t>
  </si>
  <si>
    <t>Alquiler septiembre</t>
  </si>
  <si>
    <t>Factura Luz/Agua/Gas</t>
  </si>
  <si>
    <t>Internet / Móvil</t>
  </si>
  <si>
    <t>Suscripciones esenciales</t>
  </si>
  <si>
    <t>Crunchi</t>
  </si>
  <si>
    <t>Gasto variable</t>
  </si>
  <si>
    <t>Suscripciones</t>
  </si>
  <si>
    <t>Uber</t>
  </si>
  <si>
    <t>Compras</t>
  </si>
  <si>
    <t>Regalo Carlos</t>
  </si>
  <si>
    <t>Ropa</t>
  </si>
  <si>
    <t>Corbata</t>
  </si>
  <si>
    <t>Supermercado</t>
  </si>
  <si>
    <t>Gasolina</t>
  </si>
  <si>
    <t>Gym</t>
  </si>
  <si>
    <t>Supermercado (básico)</t>
  </si>
  <si>
    <t>Farmacia</t>
  </si>
  <si>
    <t>Avidart</t>
  </si>
  <si>
    <t>Netflix</t>
  </si>
  <si>
    <t>Donacion</t>
  </si>
  <si>
    <t>Restaurantes</t>
  </si>
  <si>
    <t>OpenAI</t>
  </si>
  <si>
    <t>Taxi / VTC</t>
  </si>
  <si>
    <t>Metro</t>
  </si>
  <si>
    <t>Regalo Marta</t>
  </si>
  <si>
    <t>Tarta</t>
  </si>
  <si>
    <t>Ahorro</t>
  </si>
  <si>
    <t>Fondo de emergencia</t>
  </si>
  <si>
    <t>Finiquito</t>
  </si>
  <si>
    <t>Otros ingresos</t>
  </si>
  <si>
    <t>Festi lavanda</t>
  </si>
  <si>
    <t>Cena casa</t>
  </si>
  <si>
    <t>Cuenta comun</t>
  </si>
  <si>
    <t>Chino</t>
  </si>
  <si>
    <t>Minoxidil</t>
  </si>
  <si>
    <t>Regalo</t>
  </si>
  <si>
    <t>Cruz Roja</t>
  </si>
  <si>
    <t>Seguros</t>
  </si>
  <si>
    <t>Piso</t>
  </si>
  <si>
    <t>Perplexity</t>
  </si>
  <si>
    <t>Ocio</t>
  </si>
  <si>
    <t>Cine</t>
  </si>
  <si>
    <t>OpenIA</t>
  </si>
  <si>
    <t>Ikea</t>
  </si>
  <si>
    <t>Cuadro</t>
  </si>
  <si>
    <t>Circo</t>
  </si>
  <si>
    <t>Sueldo</t>
  </si>
  <si>
    <t>Belleza / Peluquería</t>
  </si>
  <si>
    <t>Deporte</t>
  </si>
  <si>
    <t>Reloj</t>
  </si>
  <si>
    <t>Regalos recibidos</t>
  </si>
  <si>
    <t>Aspiradoras y cosas casa</t>
  </si>
  <si>
    <t>Regalo marta</t>
  </si>
  <si>
    <t>Transporte</t>
  </si>
  <si>
    <t>Pcomponentes</t>
  </si>
  <si>
    <t>Vinted</t>
  </si>
  <si>
    <t>Discoteca</t>
  </si>
  <si>
    <t>Devolución impuestos</t>
  </si>
  <si>
    <t>Extra</t>
  </si>
  <si>
    <t>Coche</t>
  </si>
  <si>
    <t>Regalo boda</t>
  </si>
  <si>
    <t>Regalo yaya</t>
  </si>
  <si>
    <t>Pulir tabla</t>
  </si>
  <si>
    <t>DUDAS PEDIR CURRO</t>
  </si>
  <si>
    <t>Reparaciones</t>
  </si>
  <si>
    <t>ITV</t>
  </si>
  <si>
    <t>Regalo tori</t>
  </si>
  <si>
    <t>faltan 18,33</t>
  </si>
  <si>
    <t>Peluquería</t>
  </si>
  <si>
    <t>Rally</t>
  </si>
  <si>
    <t>Mes seleccionado</t>
  </si>
  <si>
    <t>marzo 2026</t>
  </si>
  <si>
    <t>Categoría</t>
  </si>
  <si>
    <t>Presupuesto (€)</t>
  </si>
  <si>
    <t>Real (€)</t>
  </si>
  <si>
    <t>Disponible (€)</t>
  </si>
  <si>
    <t>% Cumplido</t>
  </si>
  <si>
    <t>Estado</t>
  </si>
  <si>
    <t>Fijos</t>
  </si>
  <si>
    <t>Variables</t>
  </si>
  <si>
    <t>Inversión</t>
  </si>
  <si>
    <t>Ingresos (real)</t>
  </si>
  <si>
    <t>Gastos (real)</t>
  </si>
  <si>
    <t>Presupuesto total</t>
  </si>
  <si>
    <t>Cumplimiento total</t>
  </si>
  <si>
    <t>Balance (real)</t>
  </si>
  <si>
    <t>septiembre 2025</t>
  </si>
  <si>
    <t>OK</t>
  </si>
  <si>
    <t>⚠ Sobrepasado</t>
  </si>
  <si>
    <t xml:space="preserve">DASHBOARD FINANCIERO </t>
  </si>
  <si>
    <t>Balance</t>
  </si>
  <si>
    <t>Fijos (real)</t>
  </si>
  <si>
    <t>Variables (real)</t>
  </si>
  <si>
    <t>Ahorro (real)</t>
  </si>
  <si>
    <t>Inversión (real)</t>
  </si>
  <si>
    <t>Progreso por categoría</t>
  </si>
  <si>
    <t>Gastos (€)</t>
  </si>
  <si>
    <t>Ingresos (€)</t>
  </si>
  <si>
    <t>Ahorro (€)</t>
  </si>
  <si>
    <t>Inversión (€)</t>
  </si>
  <si>
    <t>Año</t>
  </si>
  <si>
    <t>Ingreso planificado mensual (€)</t>
  </si>
  <si>
    <t>Porcentaje (%)</t>
  </si>
  <si>
    <t>Planificado (€)</t>
  </si>
  <si>
    <t>Vista rápida</t>
  </si>
  <si>
    <t>Meses</t>
  </si>
  <si>
    <t>Cuentas</t>
  </si>
  <si>
    <t>Mes_nombres</t>
  </si>
  <si>
    <t>Tipos</t>
  </si>
  <si>
    <t>enero 2025</t>
  </si>
  <si>
    <t>Indexado global</t>
  </si>
  <si>
    <t>enero</t>
  </si>
  <si>
    <t>febrero 2025</t>
  </si>
  <si>
    <t>Intereses / Dividendos</t>
  </si>
  <si>
    <t>Luz</t>
  </si>
  <si>
    <t>Meta corto plazo</t>
  </si>
  <si>
    <t>Acciones / ETFs</t>
  </si>
  <si>
    <t>febrero</t>
  </si>
  <si>
    <t>marzo 2025</t>
  </si>
  <si>
    <t>Agua</t>
  </si>
  <si>
    <t>Viajes</t>
  </si>
  <si>
    <t>Meta coche</t>
  </si>
  <si>
    <t>Renta fija</t>
  </si>
  <si>
    <t>Tarjeta débito</t>
  </si>
  <si>
    <t>marzo</t>
  </si>
  <si>
    <t>abril 2025</t>
  </si>
  <si>
    <t>Gas</t>
  </si>
  <si>
    <t>Meta estudios</t>
  </si>
  <si>
    <t>Plan de pensiones</t>
  </si>
  <si>
    <t>Cuenta ahorro</t>
  </si>
  <si>
    <t>abril</t>
  </si>
  <si>
    <t>mayo 2025</t>
  </si>
  <si>
    <t>Meta viaje</t>
  </si>
  <si>
    <t>Fondo mixto</t>
  </si>
  <si>
    <t>Broker</t>
  </si>
  <si>
    <t>mayo</t>
  </si>
  <si>
    <t>junio 2025</t>
  </si>
  <si>
    <t>Crypto</t>
  </si>
  <si>
    <t>junio</t>
  </si>
  <si>
    <t>julio 2025</t>
  </si>
  <si>
    <t>Transporte básico</t>
  </si>
  <si>
    <t>julio</t>
  </si>
  <si>
    <t>agosto 2025</t>
  </si>
  <si>
    <t>agosto</t>
  </si>
  <si>
    <t>Formación</t>
  </si>
  <si>
    <t>septiembre</t>
  </si>
  <si>
    <t>octubre 2025</t>
  </si>
  <si>
    <t>octubre</t>
  </si>
  <si>
    <t>noviembre 2025</t>
  </si>
  <si>
    <t>noviembre</t>
  </si>
  <si>
    <t>diciembre 2025</t>
  </si>
  <si>
    <t>diciembre</t>
  </si>
  <si>
    <t>enero 2026</t>
  </si>
  <si>
    <t>febrero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</si>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</sst>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yyyy\-mm\-dd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E293B"/>
      <name val="Calibri"/>
    </font>
    <font>
      <b/>
      <sz val="18"/>
      <color rgb="FFFFFFFF"/>
      <name val="Calibri"/>
    </font>
    <font>
      <b/>
      <sz val="11"/>
      <color rgb="FF1E293B"/>
      <name val="Calibri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EA5A4"/>
      </patternFill>
    </fill>
    <fill>
      <patternFill patternType="solid">
        <fgColor rgb="FFF97316"/>
      </patternFill>
    </fill>
    <fill>
      <patternFill patternType="solid">
        <fgColor rgb="FF6366F1"/>
      </patternFill>
    </fill>
    <fill>
      <patternFill patternType="solid">
        <fgColor rgb="FF334155"/>
      </patternFill>
    </fill>
    <fill>
      <patternFill patternType="solid">
        <fgColor rgb="FFF59E0B"/>
      </patternFill>
    </fill>
    <fill>
      <patternFill patternType="solid">
        <fgColor rgb="FFA855F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9" fontId="0" fillId="0" borderId="2" xfId="0" applyNumberForma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9" fontId="0" fillId="0" borderId="0" xfId="1" applyFont="1"/>
    <xf numFmtId="0" fontId="0" fillId="0" borderId="0" xfId="0"/>
    <xf numFmtId="0" fontId="1" fillId="6" borderId="0" xfId="0" applyFont="1" applyFill="1" applyAlignment="1">
      <alignment horizontal="center" vertical="center"/>
    </xf>
    <xf numFmtId="0" fontId="0" fillId="0" borderId="0" xfId="0" applyAlignment="1"/>
    <xf numFmtId="164" fontId="3" fillId="6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42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Presupuesto vs Real (mes)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Panel_Mensual!$B$2</c:f>
              <c:strCache>
                <c:ptCount val="1"/>
                <c:pt idx="0">
                  <c:v>Presupuesto (€)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Panel_Mensual!$A$3:$A$6</c:f>
              <c:strCache>
                <c:ptCount val="4"/>
                <c:pt idx="0">
                  <c:v>Fijos</c:v>
                </c:pt>
                <c:pt idx="1">
                  <c:v>Variables</c:v>
                </c:pt>
                <c:pt idx="2">
                  <c:v>Ahorro</c:v>
                </c:pt>
                <c:pt idx="3">
                  <c:v>Inversión</c:v>
                </c:pt>
              </c:strCache>
            </c:strRef>
          </c:cat>
          <c:val>
            <c:numRef>
              <c:f>Panel_Mensual!$B$3:$B$6</c:f>
              <c:numCache>
                <c:formatCode>#,##0.00" €"</c:formatCode>
                <c:ptCount val="4"/>
                <c:pt idx="0">
                  <c:v>945</c:v>
                </c:pt>
                <c:pt idx="1">
                  <c:v>525</c:v>
                </c:pt>
                <c:pt idx="2">
                  <c:v>315</c:v>
                </c:pt>
                <c:pt idx="3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4A50-95D3-4D2BE963E357}"/>
            </c:ext>
          </c:extLst>
        </c:ser>
        <c:ser>
          <c:idx val="1"/>
          <c:order val="1"/>
          <c:tx>
            <c:strRef>
              <c:f>Panel_Mensual!$C$2</c:f>
              <c:strCache>
                <c:ptCount val="1"/>
                <c:pt idx="0">
                  <c:v>Real (€)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Panel_Mensual!$A$3:$A$6</c:f>
              <c:strCache>
                <c:ptCount val="4"/>
                <c:pt idx="0">
                  <c:v>Fijos</c:v>
                </c:pt>
                <c:pt idx="1">
                  <c:v>Variables</c:v>
                </c:pt>
                <c:pt idx="2">
                  <c:v>Ahorro</c:v>
                </c:pt>
                <c:pt idx="3">
                  <c:v>Inversión</c:v>
                </c:pt>
              </c:strCache>
            </c:strRef>
          </c:cat>
          <c:val>
            <c:numRef>
              <c:f>Panel_Mensual!$C$3:$C$6</c:f>
              <c:numCache>
                <c:formatCode>#,##0.00" €"</c:formatCode>
                <c:ptCount val="4"/>
                <c:pt idx="0">
                  <c:v>710.63</c:v>
                </c:pt>
                <c:pt idx="1">
                  <c:v>72.330000000000013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F-4A50-95D3-4D2BE963E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€</a:t>
                </a:r>
              </a:p>
            </c:rich>
          </c:tx>
          <c:overlay val="0"/>
        </c:title>
        <c:numFmt formatCode="#,##0.00&quot; 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gastos (mes)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Panel_Mensual!$C$2</c:f>
              <c:strCache>
                <c:ptCount val="1"/>
                <c:pt idx="0">
                  <c:v>Real (€)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Panel_Mensual!$A$3:$A$6</c:f>
              <c:strCache>
                <c:ptCount val="4"/>
                <c:pt idx="0">
                  <c:v>Fijos</c:v>
                </c:pt>
                <c:pt idx="1">
                  <c:v>Variables</c:v>
                </c:pt>
                <c:pt idx="2">
                  <c:v>Ahorro</c:v>
                </c:pt>
                <c:pt idx="3">
                  <c:v>Inversión</c:v>
                </c:pt>
              </c:strCache>
            </c:strRef>
          </c:cat>
          <c:val>
            <c:numRef>
              <c:f>Panel_Mensual!$C$3:$C$6</c:f>
              <c:numCache>
                <c:formatCode>#,##0.00" €"</c:formatCode>
                <c:ptCount val="4"/>
                <c:pt idx="0">
                  <c:v>710.63</c:v>
                </c:pt>
                <c:pt idx="1">
                  <c:v>72.330000000000013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6-4D9E-AF06-A631C9A2EB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Evolución 12 meses (Ingresos vs Gastos)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Resumen_12m!$B$1</c:f>
              <c:strCache>
                <c:ptCount val="1"/>
                <c:pt idx="0">
                  <c:v>Gastos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Resumen_12m!$A$2:$A$25</c:f>
              <c:strCache>
                <c:ptCount val="24"/>
                <c:pt idx="0">
                  <c:v>enero 2025</c:v>
                </c:pt>
                <c:pt idx="1">
                  <c:v>febrero 2025</c:v>
                </c:pt>
                <c:pt idx="2">
                  <c:v>marzo 2025</c:v>
                </c:pt>
                <c:pt idx="3">
                  <c:v>abril 2025</c:v>
                </c:pt>
                <c:pt idx="4">
                  <c:v>mayo 2025</c:v>
                </c:pt>
                <c:pt idx="5">
                  <c:v>junio 2025</c:v>
                </c:pt>
                <c:pt idx="6">
                  <c:v>julio 2025</c:v>
                </c:pt>
                <c:pt idx="7">
                  <c:v>agosto 2025</c:v>
                </c:pt>
                <c:pt idx="8">
                  <c:v>septiembre 2025</c:v>
                </c:pt>
                <c:pt idx="9">
                  <c:v>octubre 2025</c:v>
                </c:pt>
                <c:pt idx="10">
                  <c:v>noviembre 2025</c:v>
                </c:pt>
                <c:pt idx="11">
                  <c:v>diciembre 2025</c:v>
                </c:pt>
                <c:pt idx="12">
                  <c:v>enero 2026</c:v>
                </c:pt>
                <c:pt idx="13">
                  <c:v>febrero 2026</c:v>
                </c:pt>
                <c:pt idx="14">
                  <c:v>marzo 2026</c:v>
                </c:pt>
                <c:pt idx="15">
                  <c:v>abril 2026</c:v>
                </c:pt>
                <c:pt idx="16">
                  <c:v>mayo 2026</c:v>
                </c:pt>
                <c:pt idx="17">
                  <c:v>junio 2026</c:v>
                </c:pt>
                <c:pt idx="18">
                  <c:v>julio 2026</c:v>
                </c:pt>
                <c:pt idx="19">
                  <c:v>agosto 2026</c:v>
                </c:pt>
                <c:pt idx="20">
                  <c:v>septiembre 2026</c:v>
                </c:pt>
                <c:pt idx="21">
                  <c:v>octubre 2026</c:v>
                </c:pt>
                <c:pt idx="22">
                  <c:v>noviembre 2026</c:v>
                </c:pt>
                <c:pt idx="23">
                  <c:v>diciembre 2026</c:v>
                </c:pt>
              </c:strCache>
            </c:strRef>
          </c:cat>
          <c:val>
            <c:numRef>
              <c:f>Resumen_12m!$B$2:$B$25</c:f>
              <c:numCache>
                <c:formatCode>#,##0.00" €"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1014.28</c:v>
                </c:pt>
                <c:pt idx="9">
                  <c:v>1433.5800000000002</c:v>
                </c:pt>
                <c:pt idx="10">
                  <c:v>1279.95</c:v>
                </c:pt>
                <c:pt idx="11">
                  <c:v>2582.0200000000004</c:v>
                </c:pt>
                <c:pt idx="12">
                  <c:v>1446.85</c:v>
                </c:pt>
                <c:pt idx="13">
                  <c:v>1512.46</c:v>
                </c:pt>
                <c:pt idx="14">
                  <c:v>782.96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9-46D2-BB48-F8827121A010}"/>
            </c:ext>
          </c:extLst>
        </c:ser>
        <c:ser>
          <c:idx val="1"/>
          <c:order val="1"/>
          <c:tx>
            <c:strRef>
              <c:f>Resumen_12m!$C$1</c:f>
              <c:strCache>
                <c:ptCount val="1"/>
                <c:pt idx="0">
                  <c:v>Ingresos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Resumen_12m!$A$2:$A$25</c:f>
              <c:strCache>
                <c:ptCount val="24"/>
                <c:pt idx="0">
                  <c:v>enero 2025</c:v>
                </c:pt>
                <c:pt idx="1">
                  <c:v>febrero 2025</c:v>
                </c:pt>
                <c:pt idx="2">
                  <c:v>marzo 2025</c:v>
                </c:pt>
                <c:pt idx="3">
                  <c:v>abril 2025</c:v>
                </c:pt>
                <c:pt idx="4">
                  <c:v>mayo 2025</c:v>
                </c:pt>
                <c:pt idx="5">
                  <c:v>junio 2025</c:v>
                </c:pt>
                <c:pt idx="6">
                  <c:v>julio 2025</c:v>
                </c:pt>
                <c:pt idx="7">
                  <c:v>agosto 2025</c:v>
                </c:pt>
                <c:pt idx="8">
                  <c:v>septiembre 2025</c:v>
                </c:pt>
                <c:pt idx="9">
                  <c:v>octubre 2025</c:v>
                </c:pt>
                <c:pt idx="10">
                  <c:v>noviembre 2025</c:v>
                </c:pt>
                <c:pt idx="11">
                  <c:v>diciembre 2025</c:v>
                </c:pt>
                <c:pt idx="12">
                  <c:v>enero 2026</c:v>
                </c:pt>
                <c:pt idx="13">
                  <c:v>febrero 2026</c:v>
                </c:pt>
                <c:pt idx="14">
                  <c:v>marzo 2026</c:v>
                </c:pt>
                <c:pt idx="15">
                  <c:v>abril 2026</c:v>
                </c:pt>
                <c:pt idx="16">
                  <c:v>mayo 2026</c:v>
                </c:pt>
                <c:pt idx="17">
                  <c:v>junio 2026</c:v>
                </c:pt>
                <c:pt idx="18">
                  <c:v>julio 2026</c:v>
                </c:pt>
                <c:pt idx="19">
                  <c:v>agosto 2026</c:v>
                </c:pt>
                <c:pt idx="20">
                  <c:v>septiembre 2026</c:v>
                </c:pt>
                <c:pt idx="21">
                  <c:v>octubre 2026</c:v>
                </c:pt>
                <c:pt idx="22">
                  <c:v>noviembre 2026</c:v>
                </c:pt>
                <c:pt idx="23">
                  <c:v>diciembre 2026</c:v>
                </c:pt>
              </c:strCache>
            </c:strRef>
          </c:cat>
          <c:val>
            <c:numRef>
              <c:f>Resumen_12m!$C$2:$C$25</c:f>
              <c:numCache>
                <c:formatCode>#,##0.00" €"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1771.56</c:v>
                </c:pt>
                <c:pt idx="9">
                  <c:v>5371.95</c:v>
                </c:pt>
                <c:pt idx="10">
                  <c:v>2186.0300000000002</c:v>
                </c:pt>
                <c:pt idx="11">
                  <c:v>4910.84</c:v>
                </c:pt>
                <c:pt idx="12">
                  <c:v>2850</c:v>
                </c:pt>
                <c:pt idx="13">
                  <c:v>2343.9</c:v>
                </c:pt>
                <c:pt idx="14">
                  <c:v>2343.9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9-46D2-BB48-F8827121A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€</a:t>
                </a:r>
              </a:p>
            </c:rich>
          </c:tx>
          <c:overlay val="0"/>
        </c:title>
        <c:numFmt formatCode="#,##0.00&quot; 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9525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447675</xdr:colOff>
      <xdr:row>12</xdr:row>
      <xdr:rowOff>9525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5400000" cy="27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v" displayName="tblMov" ref="A1:G2010" headerRowDxfId="13" dataDxfId="12" totalsRowDxfId="11">
  <autoFilter ref="A1:G2010" xr:uid="{00000000-0009-0000-0100-000001000000}">
    <filterColumn colId="0">
      <filters blank="1">
        <dateGroupItem year="2026" month="3" dateTimeGrouping="month"/>
      </filters>
    </filterColumn>
  </autoFilter>
  <sortState xmlns:xlrd2="http://schemas.microsoft.com/office/spreadsheetml/2017/richdata2" ref="A2:G2010">
    <sortCondition ref="A1:A2010"/>
  </sortState>
  <tableColumns count="7">
    <tableColumn id="1" xr3:uid="{00000000-0010-0000-0000-000001000000}" name="Fecha" dataDxfId="10"/>
    <tableColumn id="2" xr3:uid="{00000000-0010-0000-0000-000002000000}" name="Mes" dataDxfId="9"/>
    <tableColumn id="3" xr3:uid="{00000000-0010-0000-0000-000003000000}" name="Tipo" dataDxfId="8"/>
    <tableColumn id="4" xr3:uid="{00000000-0010-0000-0000-000004000000}" name="Subcategoría" dataDxfId="7"/>
    <tableColumn id="5" xr3:uid="{00000000-0010-0000-0000-000005000000}" name="Concepto" dataDxfId="6"/>
    <tableColumn id="6" xr3:uid="{00000000-0010-0000-0000-000006000000}" name="Cuenta" dataDxfId="5"/>
    <tableColumn id="7" xr3:uid="{00000000-0010-0000-0000-000007000000}" name="Monto (€)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9"/>
  <sheetViews>
    <sheetView tabSelected="1" workbookViewId="0">
      <selection activeCell="E244" sqref="E244"/>
    </sheetView>
  </sheetViews>
  <sheetFormatPr defaultColWidth="9.140625" defaultRowHeight="15"/>
  <cols>
    <col min="1" max="1" width="12" style="6" customWidth="1"/>
    <col min="2" max="2" width="22" style="6" customWidth="1"/>
    <col min="3" max="3" width="18" style="6" customWidth="1"/>
    <col min="4" max="4" width="30" style="6" customWidth="1"/>
    <col min="5" max="5" width="38" style="6" customWidth="1"/>
    <col min="6" max="6" width="20" style="6" customWidth="1"/>
    <col min="7" max="7" width="16" style="6" customWidth="1"/>
    <col min="8" max="8" width="9.140625" style="6" customWidth="1"/>
    <col min="9" max="16384" width="9.140625" style="6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>
      <c r="A2" s="7">
        <v>45901</v>
      </c>
      <c r="B2" s="6" t="str">
        <f t="shared" ref="B2:B41" si="0">IF(A2="","",LOWER(TEXT(A2,"[$-es-ES]mmmm"))&amp;" "&amp;YEAR(A2))</f>
        <v>septiembre 2025</v>
      </c>
      <c r="C2" s="6" t="s">
        <v>7</v>
      </c>
      <c r="D2" s="6" t="s">
        <v>8</v>
      </c>
      <c r="E2" s="6" t="s">
        <v>9</v>
      </c>
      <c r="F2" s="6" t="s">
        <v>10</v>
      </c>
      <c r="G2" s="8">
        <v>1771.56</v>
      </c>
    </row>
    <row r="3" spans="1:7" hidden="1">
      <c r="A3" s="7">
        <v>45901</v>
      </c>
      <c r="B3" s="6" t="str">
        <f t="shared" si="0"/>
        <v>septiembre 2025</v>
      </c>
      <c r="C3" s="6" t="s">
        <v>11</v>
      </c>
      <c r="D3" s="6" t="s">
        <v>12</v>
      </c>
      <c r="E3" s="6" t="s">
        <v>13</v>
      </c>
      <c r="F3" s="6" t="s">
        <v>10</v>
      </c>
      <c r="G3" s="8">
        <v>-488.83</v>
      </c>
    </row>
    <row r="4" spans="1:7" hidden="1">
      <c r="A4" s="7">
        <v>45902</v>
      </c>
      <c r="B4" s="6" t="str">
        <f t="shared" si="0"/>
        <v>septiembre 2025</v>
      </c>
      <c r="C4" s="6" t="s">
        <v>11</v>
      </c>
      <c r="D4" s="6" t="s">
        <v>14</v>
      </c>
      <c r="F4" s="6" t="s">
        <v>10</v>
      </c>
      <c r="G4" s="8">
        <v>-6.82</v>
      </c>
    </row>
    <row r="5" spans="1:7" hidden="1">
      <c r="A5" s="7">
        <v>45903</v>
      </c>
      <c r="B5" s="6" t="str">
        <f t="shared" si="0"/>
        <v>septiembre 2025</v>
      </c>
      <c r="C5" s="6" t="s">
        <v>11</v>
      </c>
      <c r="D5" s="6" t="s">
        <v>15</v>
      </c>
      <c r="F5" s="6" t="s">
        <v>10</v>
      </c>
      <c r="G5" s="8">
        <v>-10</v>
      </c>
    </row>
    <row r="6" spans="1:7" hidden="1">
      <c r="A6" s="7">
        <v>45903</v>
      </c>
      <c r="B6" s="6" t="str">
        <f t="shared" si="0"/>
        <v>septiembre 2025</v>
      </c>
      <c r="C6" s="6" t="s">
        <v>11</v>
      </c>
      <c r="D6" s="6" t="s">
        <v>16</v>
      </c>
      <c r="E6" s="6" t="s">
        <v>17</v>
      </c>
      <c r="F6" s="6" t="s">
        <v>10</v>
      </c>
      <c r="G6" s="8">
        <v>-3.25</v>
      </c>
    </row>
    <row r="7" spans="1:7" hidden="1">
      <c r="A7" s="7">
        <v>45903</v>
      </c>
      <c r="B7" s="6" t="str">
        <f t="shared" si="0"/>
        <v>septiembre 2025</v>
      </c>
      <c r="C7" s="6" t="s">
        <v>11</v>
      </c>
      <c r="D7" s="6" t="s">
        <v>14</v>
      </c>
      <c r="F7" s="6" t="s">
        <v>10</v>
      </c>
      <c r="G7" s="8">
        <v>-6.41</v>
      </c>
    </row>
    <row r="8" spans="1:7" hidden="1">
      <c r="A8" s="7">
        <v>45903</v>
      </c>
      <c r="B8" s="6" t="str">
        <f t="shared" si="0"/>
        <v>septiembre 2025</v>
      </c>
      <c r="C8" s="6" t="s">
        <v>18</v>
      </c>
      <c r="D8" s="6" t="s">
        <v>19</v>
      </c>
      <c r="E8" s="6" t="s">
        <v>20</v>
      </c>
      <c r="F8" s="6" t="s">
        <v>10</v>
      </c>
      <c r="G8" s="8">
        <v>-4.99</v>
      </c>
    </row>
    <row r="9" spans="1:7" hidden="1">
      <c r="A9" s="7">
        <v>45904</v>
      </c>
      <c r="B9" s="6" t="str">
        <f t="shared" si="0"/>
        <v>septiembre 2025</v>
      </c>
      <c r="C9" s="6" t="s">
        <v>18</v>
      </c>
      <c r="D9" s="6" t="s">
        <v>21</v>
      </c>
      <c r="E9" s="6" t="s">
        <v>22</v>
      </c>
      <c r="F9" s="6" t="s">
        <v>10</v>
      </c>
      <c r="G9" s="8">
        <v>-11.45</v>
      </c>
    </row>
    <row r="10" spans="1:7" hidden="1">
      <c r="A10" s="7">
        <v>45905</v>
      </c>
      <c r="B10" s="6" t="str">
        <f t="shared" si="0"/>
        <v>septiembre 2025</v>
      </c>
      <c r="C10" s="6" t="s">
        <v>18</v>
      </c>
      <c r="D10" s="6" t="s">
        <v>23</v>
      </c>
      <c r="E10" s="6" t="s">
        <v>24</v>
      </c>
      <c r="F10" s="6" t="s">
        <v>10</v>
      </c>
      <c r="G10" s="8">
        <v>-37.5</v>
      </c>
    </row>
    <row r="11" spans="1:7" hidden="1">
      <c r="A11" s="7">
        <v>45905</v>
      </c>
      <c r="B11" s="6" t="str">
        <f t="shared" si="0"/>
        <v>septiembre 2025</v>
      </c>
      <c r="C11" s="6" t="s">
        <v>18</v>
      </c>
      <c r="D11" s="6" t="s">
        <v>25</v>
      </c>
      <c r="F11" s="6" t="s">
        <v>10</v>
      </c>
      <c r="G11" s="8">
        <v>-3.4</v>
      </c>
    </row>
    <row r="12" spans="1:7" hidden="1">
      <c r="A12" s="7">
        <v>45907</v>
      </c>
      <c r="B12" s="6" t="str">
        <f t="shared" si="0"/>
        <v>septiembre 2025</v>
      </c>
      <c r="C12" s="6" t="s">
        <v>18</v>
      </c>
      <c r="D12" s="6" t="s">
        <v>25</v>
      </c>
      <c r="F12" s="6" t="s">
        <v>10</v>
      </c>
      <c r="G12" s="8">
        <v>-4.6100000000000003</v>
      </c>
    </row>
    <row r="13" spans="1:7" hidden="1">
      <c r="A13" s="7">
        <v>45908</v>
      </c>
      <c r="B13" s="6" t="str">
        <f t="shared" si="0"/>
        <v>septiembre 2025</v>
      </c>
      <c r="C13" s="6" t="s">
        <v>18</v>
      </c>
      <c r="D13" s="6" t="s">
        <v>26</v>
      </c>
      <c r="F13" s="6" t="s">
        <v>10</v>
      </c>
      <c r="G13" s="8">
        <v>-22.07</v>
      </c>
    </row>
    <row r="14" spans="1:7" hidden="1">
      <c r="A14" s="7">
        <v>45908</v>
      </c>
      <c r="B14" s="6" t="str">
        <f t="shared" si="0"/>
        <v>septiembre 2025</v>
      </c>
      <c r="C14" s="6" t="s">
        <v>11</v>
      </c>
      <c r="D14" s="6" t="s">
        <v>27</v>
      </c>
      <c r="F14" s="6" t="s">
        <v>10</v>
      </c>
      <c r="G14" s="8">
        <v>-29.99</v>
      </c>
    </row>
    <row r="15" spans="1:7" hidden="1">
      <c r="A15" s="7">
        <v>45909</v>
      </c>
      <c r="B15" s="6" t="str">
        <f t="shared" si="0"/>
        <v>septiembre 2025</v>
      </c>
      <c r="C15" s="6" t="s">
        <v>11</v>
      </c>
      <c r="D15" s="6" t="s">
        <v>28</v>
      </c>
      <c r="F15" s="6" t="s">
        <v>10</v>
      </c>
      <c r="G15" s="8">
        <v>-6.88</v>
      </c>
    </row>
    <row r="16" spans="1:7" hidden="1">
      <c r="A16" s="7">
        <v>45909</v>
      </c>
      <c r="B16" s="6" t="str">
        <f t="shared" si="0"/>
        <v>septiembre 2025</v>
      </c>
      <c r="C16" s="6" t="s">
        <v>11</v>
      </c>
      <c r="D16" s="6" t="s">
        <v>29</v>
      </c>
      <c r="E16" s="6" t="s">
        <v>30</v>
      </c>
      <c r="F16" s="6" t="s">
        <v>10</v>
      </c>
      <c r="G16" s="8">
        <v>-20.11</v>
      </c>
    </row>
    <row r="17" spans="1:7" hidden="1">
      <c r="A17" s="7">
        <v>45910</v>
      </c>
      <c r="B17" s="6" t="str">
        <f t="shared" si="0"/>
        <v>septiembre 2025</v>
      </c>
      <c r="C17" s="6" t="s">
        <v>11</v>
      </c>
      <c r="D17" s="6" t="s">
        <v>16</v>
      </c>
      <c r="E17" s="6" t="s">
        <v>31</v>
      </c>
      <c r="F17" s="6" t="s">
        <v>10</v>
      </c>
      <c r="G17" s="8">
        <v>-6.99</v>
      </c>
    </row>
    <row r="18" spans="1:7" hidden="1">
      <c r="A18" s="7">
        <v>45910</v>
      </c>
      <c r="B18" s="6" t="str">
        <f t="shared" si="0"/>
        <v>septiembre 2025</v>
      </c>
      <c r="C18" s="6" t="s">
        <v>11</v>
      </c>
      <c r="D18" s="6" t="s">
        <v>14</v>
      </c>
      <c r="F18" s="6" t="s">
        <v>10</v>
      </c>
      <c r="G18" s="8">
        <v>-15.66</v>
      </c>
    </row>
    <row r="19" spans="1:7" hidden="1">
      <c r="A19" s="7">
        <v>45911</v>
      </c>
      <c r="B19" s="6" t="str">
        <f t="shared" si="0"/>
        <v>septiembre 2025</v>
      </c>
      <c r="C19" s="6" t="s">
        <v>18</v>
      </c>
      <c r="D19" s="6" t="s">
        <v>32</v>
      </c>
      <c r="F19" s="6" t="s">
        <v>10</v>
      </c>
      <c r="G19" s="8">
        <v>-15</v>
      </c>
    </row>
    <row r="20" spans="1:7" hidden="1">
      <c r="A20" s="7">
        <v>45911</v>
      </c>
      <c r="B20" s="6" t="str">
        <f t="shared" si="0"/>
        <v>septiembre 2025</v>
      </c>
      <c r="C20" s="6" t="s">
        <v>11</v>
      </c>
      <c r="D20" s="6" t="s">
        <v>28</v>
      </c>
      <c r="F20" s="6" t="s">
        <v>10</v>
      </c>
      <c r="G20" s="8">
        <v>-77.040000000000006</v>
      </c>
    </row>
    <row r="21" spans="1:7" hidden="1">
      <c r="A21" s="7">
        <v>45912</v>
      </c>
      <c r="B21" s="6" t="str">
        <f t="shared" si="0"/>
        <v>septiembre 2025</v>
      </c>
      <c r="C21" s="6" t="s">
        <v>18</v>
      </c>
      <c r="D21" s="6" t="s">
        <v>33</v>
      </c>
      <c r="F21" s="6" t="s">
        <v>10</v>
      </c>
      <c r="G21" s="8">
        <v>-30.8</v>
      </c>
    </row>
    <row r="22" spans="1:7" hidden="1">
      <c r="A22" s="7">
        <v>45914</v>
      </c>
      <c r="B22" s="6" t="str">
        <f t="shared" si="0"/>
        <v>septiembre 2025</v>
      </c>
      <c r="C22" s="6" t="s">
        <v>18</v>
      </c>
      <c r="D22" s="6" t="s">
        <v>33</v>
      </c>
      <c r="F22" s="6" t="s">
        <v>10</v>
      </c>
      <c r="G22" s="8">
        <v>-54.18</v>
      </c>
    </row>
    <row r="23" spans="1:7" hidden="1">
      <c r="A23" s="7">
        <v>45917</v>
      </c>
      <c r="B23" s="6" t="str">
        <f t="shared" si="0"/>
        <v>septiembre 2025</v>
      </c>
      <c r="C23" s="6" t="s">
        <v>11</v>
      </c>
      <c r="D23" s="6" t="s">
        <v>16</v>
      </c>
      <c r="E23" s="6" t="s">
        <v>34</v>
      </c>
      <c r="F23" s="6" t="s">
        <v>10</v>
      </c>
      <c r="G23" s="8">
        <v>-23</v>
      </c>
    </row>
    <row r="24" spans="1:7" hidden="1">
      <c r="A24" s="7">
        <v>45917</v>
      </c>
      <c r="B24" s="6" t="str">
        <f t="shared" si="0"/>
        <v>septiembre 2025</v>
      </c>
      <c r="C24" s="6" t="s">
        <v>18</v>
      </c>
      <c r="D24" s="6" t="s">
        <v>33</v>
      </c>
      <c r="F24" s="6" t="s">
        <v>10</v>
      </c>
      <c r="G24" s="8">
        <v>-5.99</v>
      </c>
    </row>
    <row r="25" spans="1:7" hidden="1">
      <c r="A25" s="7">
        <v>45919</v>
      </c>
      <c r="B25" s="6" t="str">
        <f t="shared" si="0"/>
        <v>septiembre 2025</v>
      </c>
      <c r="C25" s="6" t="s">
        <v>11</v>
      </c>
      <c r="D25" s="6" t="s">
        <v>28</v>
      </c>
      <c r="F25" s="6" t="s">
        <v>10</v>
      </c>
      <c r="G25" s="8">
        <v>-25.59</v>
      </c>
    </row>
    <row r="26" spans="1:7" hidden="1">
      <c r="A26" s="7">
        <v>45920</v>
      </c>
      <c r="B26" s="6" t="str">
        <f t="shared" si="0"/>
        <v>septiembre 2025</v>
      </c>
      <c r="C26" s="6" t="s">
        <v>18</v>
      </c>
      <c r="D26" s="6" t="s">
        <v>35</v>
      </c>
      <c r="E26" s="6" t="s">
        <v>36</v>
      </c>
      <c r="F26" s="6" t="s">
        <v>10</v>
      </c>
      <c r="G26" s="8">
        <v>-7.3</v>
      </c>
    </row>
    <row r="27" spans="1:7" hidden="1">
      <c r="A27" s="7">
        <v>45920</v>
      </c>
      <c r="B27" s="6" t="str">
        <f t="shared" si="0"/>
        <v>septiembre 2025</v>
      </c>
      <c r="C27" s="6" t="s">
        <v>18</v>
      </c>
      <c r="D27" s="6" t="s">
        <v>21</v>
      </c>
      <c r="E27" s="6" t="s">
        <v>37</v>
      </c>
      <c r="F27" s="6" t="s">
        <v>10</v>
      </c>
      <c r="G27" s="8">
        <v>-12</v>
      </c>
    </row>
    <row r="28" spans="1:7" hidden="1">
      <c r="A28" s="7">
        <v>45923</v>
      </c>
      <c r="B28" s="6" t="str">
        <f t="shared" si="0"/>
        <v>septiembre 2025</v>
      </c>
      <c r="C28" s="6" t="s">
        <v>11</v>
      </c>
      <c r="D28" s="6" t="s">
        <v>28</v>
      </c>
      <c r="F28" s="6" t="s">
        <v>10</v>
      </c>
      <c r="G28" s="8">
        <v>-1.93</v>
      </c>
    </row>
    <row r="29" spans="1:7" hidden="1">
      <c r="A29" s="7">
        <v>45924</v>
      </c>
      <c r="B29" s="6" t="str">
        <f t="shared" si="0"/>
        <v>septiembre 2025</v>
      </c>
      <c r="C29" s="6" t="s">
        <v>11</v>
      </c>
      <c r="D29" s="6" t="s">
        <v>28</v>
      </c>
      <c r="F29" s="6" t="s">
        <v>10</v>
      </c>
      <c r="G29" s="8">
        <v>-21.69</v>
      </c>
    </row>
    <row r="30" spans="1:7" hidden="1">
      <c r="A30" s="7">
        <v>45925</v>
      </c>
      <c r="B30" s="6" t="str">
        <f t="shared" si="0"/>
        <v>septiembre 2025</v>
      </c>
      <c r="C30" s="6" t="s">
        <v>18</v>
      </c>
      <c r="D30" s="6" t="s">
        <v>21</v>
      </c>
      <c r="E30" s="6" t="s">
        <v>38</v>
      </c>
      <c r="F30" s="6" t="s">
        <v>10</v>
      </c>
      <c r="G30" s="8">
        <v>-12.5</v>
      </c>
    </row>
    <row r="31" spans="1:7" hidden="1">
      <c r="A31" s="7">
        <v>45926</v>
      </c>
      <c r="B31" s="6" t="str">
        <f t="shared" si="0"/>
        <v>septiembre 2025</v>
      </c>
      <c r="C31" s="6" t="s">
        <v>18</v>
      </c>
      <c r="D31" s="6" t="s">
        <v>35</v>
      </c>
      <c r="F31" s="6" t="s">
        <v>10</v>
      </c>
      <c r="G31" s="8">
        <v>-5.62</v>
      </c>
    </row>
    <row r="32" spans="1:7" hidden="1">
      <c r="A32" s="7">
        <v>45926</v>
      </c>
      <c r="B32" s="6" t="str">
        <f t="shared" si="0"/>
        <v>septiembre 2025</v>
      </c>
      <c r="C32" s="6" t="s">
        <v>18</v>
      </c>
      <c r="D32" s="6" t="s">
        <v>25</v>
      </c>
      <c r="F32" s="6" t="s">
        <v>10</v>
      </c>
      <c r="G32" s="8">
        <v>-7.95</v>
      </c>
    </row>
    <row r="33" spans="1:7" hidden="1">
      <c r="A33" s="7">
        <v>45927</v>
      </c>
      <c r="B33" s="6" t="str">
        <f t="shared" si="0"/>
        <v>septiembre 2025</v>
      </c>
      <c r="C33" s="6" t="s">
        <v>18</v>
      </c>
      <c r="D33" s="6" t="s">
        <v>33</v>
      </c>
      <c r="F33" s="6" t="s">
        <v>10</v>
      </c>
      <c r="G33" s="8">
        <v>-25.14</v>
      </c>
    </row>
    <row r="34" spans="1:7" hidden="1">
      <c r="A34" s="7">
        <v>45929</v>
      </c>
      <c r="B34" s="6" t="str">
        <f t="shared" si="0"/>
        <v>septiembre 2025</v>
      </c>
      <c r="C34" s="6" t="s">
        <v>18</v>
      </c>
      <c r="D34" s="6" t="s">
        <v>25</v>
      </c>
      <c r="F34" s="6" t="s">
        <v>10</v>
      </c>
      <c r="G34" s="8">
        <v>-1.59</v>
      </c>
    </row>
    <row r="35" spans="1:7" hidden="1">
      <c r="A35" s="7">
        <v>45930</v>
      </c>
      <c r="B35" s="6" t="str">
        <f t="shared" si="0"/>
        <v>septiembre 2025</v>
      </c>
      <c r="C35" s="6" t="s">
        <v>11</v>
      </c>
      <c r="D35" s="6" t="s">
        <v>28</v>
      </c>
      <c r="F35" s="6" t="s">
        <v>10</v>
      </c>
      <c r="G35" s="8">
        <v>-4</v>
      </c>
    </row>
    <row r="36" spans="1:7" hidden="1">
      <c r="A36" s="7">
        <v>45930</v>
      </c>
      <c r="B36" s="6" t="str">
        <f t="shared" si="0"/>
        <v>septiembre 2025</v>
      </c>
      <c r="C36" s="6" t="s">
        <v>18</v>
      </c>
      <c r="D36" s="6" t="s">
        <v>33</v>
      </c>
      <c r="F36" s="6" t="s">
        <v>10</v>
      </c>
      <c r="G36" s="8">
        <v>-4</v>
      </c>
    </row>
    <row r="37" spans="1:7" hidden="1">
      <c r="A37" s="7">
        <v>45930</v>
      </c>
      <c r="B37" s="6" t="str">
        <f t="shared" si="0"/>
        <v>septiembre 2025</v>
      </c>
      <c r="C37" s="6" t="s">
        <v>39</v>
      </c>
      <c r="D37" s="6" t="s">
        <v>40</v>
      </c>
      <c r="F37" s="6" t="s">
        <v>10</v>
      </c>
      <c r="G37" s="8">
        <v>-757.28</v>
      </c>
    </row>
    <row r="38" spans="1:7" hidden="1">
      <c r="A38" s="7">
        <v>45931</v>
      </c>
      <c r="B38" s="6" t="str">
        <f t="shared" si="0"/>
        <v>octubre 2025</v>
      </c>
      <c r="C38" s="6" t="s">
        <v>7</v>
      </c>
      <c r="D38" s="6" t="s">
        <v>8</v>
      </c>
      <c r="F38" s="6" t="s">
        <v>10</v>
      </c>
      <c r="G38" s="8">
        <v>2088</v>
      </c>
    </row>
    <row r="39" spans="1:7" hidden="1">
      <c r="A39" s="7">
        <v>45931</v>
      </c>
      <c r="B39" s="6" t="str">
        <f t="shared" si="0"/>
        <v>octubre 2025</v>
      </c>
      <c r="C39" s="6" t="s">
        <v>7</v>
      </c>
      <c r="D39" s="6" t="s">
        <v>8</v>
      </c>
      <c r="E39" s="6" t="s">
        <v>41</v>
      </c>
      <c r="F39" s="6" t="s">
        <v>10</v>
      </c>
      <c r="G39" s="8">
        <v>2230.81</v>
      </c>
    </row>
    <row r="40" spans="1:7" hidden="1">
      <c r="A40" s="7">
        <v>45931</v>
      </c>
      <c r="B40" s="6" t="str">
        <f t="shared" si="0"/>
        <v>octubre 2025</v>
      </c>
      <c r="C40" s="6" t="s">
        <v>11</v>
      </c>
      <c r="D40" s="6" t="s">
        <v>12</v>
      </c>
      <c r="F40" s="6" t="s">
        <v>10</v>
      </c>
      <c r="G40" s="8">
        <v>-565.49</v>
      </c>
    </row>
    <row r="41" spans="1:7" hidden="1">
      <c r="A41" s="7">
        <v>45931</v>
      </c>
      <c r="B41" s="6" t="str">
        <f t="shared" si="0"/>
        <v>octubre 2025</v>
      </c>
      <c r="C41" s="6" t="s">
        <v>11</v>
      </c>
      <c r="D41" s="6" t="s">
        <v>15</v>
      </c>
      <c r="F41" s="6" t="s">
        <v>10</v>
      </c>
      <c r="G41" s="8">
        <v>-10</v>
      </c>
    </row>
    <row r="42" spans="1:7" hidden="1">
      <c r="A42" s="7">
        <v>45931</v>
      </c>
      <c r="B42" s="6" t="str">
        <f>IF(A41="","",LOWER(TEXT(A41,"[$-es-ES]mmmm"))&amp;" "&amp;YEAR(A41))</f>
        <v>octubre 2025</v>
      </c>
      <c r="C42" s="6" t="s">
        <v>11</v>
      </c>
      <c r="D42" s="6" t="s">
        <v>14</v>
      </c>
      <c r="F42" s="6" t="s">
        <v>10</v>
      </c>
      <c r="G42" s="8">
        <v>-6.14</v>
      </c>
    </row>
    <row r="43" spans="1:7" hidden="1">
      <c r="A43" s="7">
        <v>45931</v>
      </c>
      <c r="B43" s="6" t="str">
        <f>IF(A43="","",LOWER(TEXT(A43,"[$-es-ES]mmmm"))&amp;" "&amp;YEAR(A43))</f>
        <v>octubre 2025</v>
      </c>
      <c r="C43" s="6" t="s">
        <v>11</v>
      </c>
      <c r="D43" s="6" t="s">
        <v>16</v>
      </c>
      <c r="E43" s="6" t="s">
        <v>17</v>
      </c>
      <c r="F43" s="6" t="s">
        <v>10</v>
      </c>
      <c r="G43" s="8">
        <v>-3.25</v>
      </c>
    </row>
    <row r="44" spans="1:7" hidden="1">
      <c r="A44" s="7">
        <v>45932</v>
      </c>
      <c r="B44" s="6" t="str">
        <f>IF(A43="","",LOWER(TEXT(A43,"[$-es-ES]mmmm"))&amp;" "&amp;YEAR(A43))</f>
        <v>octubre 2025</v>
      </c>
      <c r="C44" s="6" t="s">
        <v>7</v>
      </c>
      <c r="D44" s="6" t="s">
        <v>42</v>
      </c>
      <c r="E44" s="6" t="s">
        <v>43</v>
      </c>
      <c r="F44" s="6" t="s">
        <v>10</v>
      </c>
      <c r="G44" s="8">
        <v>500</v>
      </c>
    </row>
    <row r="45" spans="1:7" hidden="1">
      <c r="A45" s="7">
        <v>45933</v>
      </c>
      <c r="B45" s="6" t="str">
        <f t="shared" ref="B45:B108" si="1">IF(A45="","",LOWER(TEXT(A45,"[$-es-ES]mmmm"))&amp;" "&amp;YEAR(A45))</f>
        <v>octubre 2025</v>
      </c>
      <c r="C45" s="6" t="s">
        <v>18</v>
      </c>
      <c r="D45" s="6" t="s">
        <v>25</v>
      </c>
      <c r="E45" s="6" t="s">
        <v>44</v>
      </c>
      <c r="F45" s="6" t="s">
        <v>10</v>
      </c>
      <c r="G45" s="8">
        <v>-10.4</v>
      </c>
    </row>
    <row r="46" spans="1:7" hidden="1">
      <c r="A46" s="7">
        <v>45934</v>
      </c>
      <c r="B46" s="6" t="str">
        <f t="shared" si="1"/>
        <v>octubre 2025</v>
      </c>
      <c r="C46" s="6" t="s">
        <v>18</v>
      </c>
      <c r="D46" s="6" t="s">
        <v>33</v>
      </c>
      <c r="F46" s="6" t="s">
        <v>45</v>
      </c>
      <c r="G46" s="8">
        <v>-16</v>
      </c>
    </row>
    <row r="47" spans="1:7" hidden="1">
      <c r="A47" s="7">
        <v>45934</v>
      </c>
      <c r="B47" s="6" t="str">
        <f t="shared" si="1"/>
        <v>octubre 2025</v>
      </c>
      <c r="C47" s="6" t="s">
        <v>18</v>
      </c>
      <c r="D47" s="6" t="s">
        <v>25</v>
      </c>
      <c r="F47" s="6" t="s">
        <v>45</v>
      </c>
      <c r="G47" s="8">
        <v>-5.27</v>
      </c>
    </row>
    <row r="48" spans="1:7" hidden="1">
      <c r="A48" s="7">
        <v>45934</v>
      </c>
      <c r="B48" s="6" t="str">
        <f t="shared" si="1"/>
        <v>octubre 2025</v>
      </c>
      <c r="C48" s="6" t="s">
        <v>18</v>
      </c>
      <c r="D48" s="6" t="s">
        <v>26</v>
      </c>
      <c r="F48" s="6" t="s">
        <v>10</v>
      </c>
      <c r="G48" s="8">
        <v>-40</v>
      </c>
    </row>
    <row r="49" spans="1:7" hidden="1">
      <c r="A49" s="7">
        <v>45934</v>
      </c>
      <c r="B49" s="6" t="str">
        <f t="shared" si="1"/>
        <v>octubre 2025</v>
      </c>
      <c r="C49" s="6" t="s">
        <v>18</v>
      </c>
      <c r="D49" s="6" t="s">
        <v>25</v>
      </c>
      <c r="E49" s="6" t="s">
        <v>46</v>
      </c>
      <c r="F49" s="6" t="s">
        <v>10</v>
      </c>
      <c r="G49" s="8">
        <v>-3.75</v>
      </c>
    </row>
    <row r="50" spans="1:7" hidden="1">
      <c r="A50" s="7">
        <v>45935</v>
      </c>
      <c r="B50" s="6" t="str">
        <f t="shared" si="1"/>
        <v>octubre 2025</v>
      </c>
      <c r="C50" s="6" t="s">
        <v>11</v>
      </c>
      <c r="D50" s="6" t="s">
        <v>29</v>
      </c>
      <c r="E50" s="6" t="s">
        <v>47</v>
      </c>
      <c r="F50" s="6" t="s">
        <v>10</v>
      </c>
      <c r="G50" s="8">
        <v>-53.95</v>
      </c>
    </row>
    <row r="51" spans="1:7" hidden="1">
      <c r="A51" s="7">
        <v>45935</v>
      </c>
      <c r="B51" s="6" t="str">
        <f t="shared" si="1"/>
        <v>octubre 2025</v>
      </c>
      <c r="C51" s="6" t="s">
        <v>18</v>
      </c>
      <c r="D51" s="6" t="s">
        <v>21</v>
      </c>
      <c r="E51" s="6" t="s">
        <v>48</v>
      </c>
      <c r="F51" s="6" t="s">
        <v>10</v>
      </c>
      <c r="G51" s="8">
        <v>-113.43</v>
      </c>
    </row>
    <row r="52" spans="1:7" hidden="1">
      <c r="A52" s="7">
        <v>45936</v>
      </c>
      <c r="B52" s="6" t="str">
        <f t="shared" si="1"/>
        <v>octubre 2025</v>
      </c>
      <c r="C52" s="6" t="s">
        <v>11</v>
      </c>
      <c r="D52" s="6" t="s">
        <v>27</v>
      </c>
      <c r="F52" s="6" t="s">
        <v>10</v>
      </c>
      <c r="G52" s="8">
        <v>-29.99</v>
      </c>
    </row>
    <row r="53" spans="1:7" hidden="1">
      <c r="A53" s="7">
        <v>45936</v>
      </c>
      <c r="B53" s="6" t="str">
        <f t="shared" si="1"/>
        <v>octubre 2025</v>
      </c>
      <c r="C53" s="6" t="s">
        <v>11</v>
      </c>
      <c r="D53" s="6" t="s">
        <v>28</v>
      </c>
      <c r="F53" s="6" t="s">
        <v>10</v>
      </c>
      <c r="G53" s="8">
        <v>-55.7</v>
      </c>
    </row>
    <row r="54" spans="1:7" hidden="1">
      <c r="A54" s="7">
        <v>45938</v>
      </c>
      <c r="B54" s="6" t="str">
        <f t="shared" si="1"/>
        <v>octubre 2025</v>
      </c>
      <c r="C54" s="6" t="s">
        <v>11</v>
      </c>
      <c r="D54" s="6" t="s">
        <v>16</v>
      </c>
      <c r="E54" s="6" t="s">
        <v>31</v>
      </c>
      <c r="F54" s="6" t="s">
        <v>10</v>
      </c>
      <c r="G54" s="8">
        <v>-6.99</v>
      </c>
    </row>
    <row r="55" spans="1:7" hidden="1">
      <c r="A55" s="7">
        <v>45938</v>
      </c>
      <c r="B55" s="6" t="str">
        <f t="shared" si="1"/>
        <v>octubre 2025</v>
      </c>
      <c r="C55" s="6" t="s">
        <v>11</v>
      </c>
      <c r="D55" s="6" t="s">
        <v>14</v>
      </c>
      <c r="F55" s="6" t="s">
        <v>10</v>
      </c>
      <c r="G55" s="8">
        <v>-16.82</v>
      </c>
    </row>
    <row r="56" spans="1:7" hidden="1">
      <c r="A56" s="7">
        <v>45940</v>
      </c>
      <c r="B56" s="6" t="str">
        <f t="shared" si="1"/>
        <v>octubre 2025</v>
      </c>
      <c r="C56" s="6" t="s">
        <v>18</v>
      </c>
      <c r="D56" s="6" t="s">
        <v>33</v>
      </c>
      <c r="F56" s="6" t="s">
        <v>10</v>
      </c>
      <c r="G56" s="8">
        <v>-96</v>
      </c>
    </row>
    <row r="57" spans="1:7" hidden="1">
      <c r="A57" s="7">
        <v>45942</v>
      </c>
      <c r="B57" s="6" t="str">
        <f t="shared" si="1"/>
        <v>octubre 2025</v>
      </c>
      <c r="C57" s="6" t="s">
        <v>18</v>
      </c>
      <c r="D57" s="6" t="s">
        <v>25</v>
      </c>
      <c r="F57" s="6" t="s">
        <v>45</v>
      </c>
      <c r="G57" s="8">
        <v>-4.57</v>
      </c>
    </row>
    <row r="58" spans="1:7" hidden="1">
      <c r="A58" s="7">
        <v>45943</v>
      </c>
      <c r="B58" s="6" t="str">
        <f t="shared" si="1"/>
        <v>octubre 2025</v>
      </c>
      <c r="C58" s="6" t="s">
        <v>11</v>
      </c>
      <c r="D58" s="6" t="s">
        <v>28</v>
      </c>
      <c r="F58" s="6" t="s">
        <v>10</v>
      </c>
      <c r="G58" s="8">
        <v>-59.79</v>
      </c>
    </row>
    <row r="59" spans="1:7" hidden="1">
      <c r="A59" s="7">
        <v>45945</v>
      </c>
      <c r="B59" s="6" t="str">
        <f t="shared" si="1"/>
        <v>octubre 2025</v>
      </c>
      <c r="C59" s="6" t="s">
        <v>18</v>
      </c>
      <c r="D59" s="6" t="s">
        <v>32</v>
      </c>
      <c r="E59" s="6" t="s">
        <v>49</v>
      </c>
      <c r="F59" s="6" t="s">
        <v>10</v>
      </c>
      <c r="G59" s="8">
        <v>-15</v>
      </c>
    </row>
    <row r="60" spans="1:7" hidden="1">
      <c r="A60" s="7">
        <v>45945</v>
      </c>
      <c r="B60" s="6" t="str">
        <f t="shared" si="1"/>
        <v>octubre 2025</v>
      </c>
      <c r="C60" s="6" t="s">
        <v>11</v>
      </c>
      <c r="D60" s="6" t="s">
        <v>50</v>
      </c>
      <c r="E60" s="6" t="s">
        <v>51</v>
      </c>
      <c r="F60" s="6" t="s">
        <v>10</v>
      </c>
      <c r="G60" s="8">
        <v>-61.72</v>
      </c>
    </row>
    <row r="61" spans="1:7" hidden="1">
      <c r="A61" s="7">
        <v>45946</v>
      </c>
      <c r="B61" s="6" t="str">
        <f t="shared" si="1"/>
        <v>octubre 2025</v>
      </c>
      <c r="C61" s="6" t="s">
        <v>18</v>
      </c>
      <c r="D61" s="6" t="s">
        <v>33</v>
      </c>
      <c r="F61" s="6" t="s">
        <v>45</v>
      </c>
      <c r="G61" s="8">
        <v>-14.8</v>
      </c>
    </row>
    <row r="62" spans="1:7" hidden="1">
      <c r="A62" s="7">
        <v>45947</v>
      </c>
      <c r="B62" s="6" t="str">
        <f t="shared" si="1"/>
        <v>octubre 2025</v>
      </c>
      <c r="C62" s="6" t="s">
        <v>18</v>
      </c>
      <c r="D62" s="6" t="s">
        <v>25</v>
      </c>
      <c r="F62" s="6" t="s">
        <v>10</v>
      </c>
      <c r="G62" s="8">
        <v>-3.7</v>
      </c>
    </row>
    <row r="63" spans="1:7" hidden="1">
      <c r="A63" s="7">
        <v>45948</v>
      </c>
      <c r="B63" s="6" t="str">
        <f t="shared" si="1"/>
        <v>octubre 2025</v>
      </c>
      <c r="C63" s="6" t="s">
        <v>18</v>
      </c>
      <c r="D63" s="6" t="s">
        <v>25</v>
      </c>
      <c r="F63" s="6" t="s">
        <v>10</v>
      </c>
      <c r="G63" s="8">
        <v>-10.67</v>
      </c>
    </row>
    <row r="64" spans="1:7" hidden="1">
      <c r="A64" s="7">
        <v>45948</v>
      </c>
      <c r="B64" s="6" t="str">
        <f t="shared" si="1"/>
        <v>octubre 2025</v>
      </c>
      <c r="C64" s="6" t="s">
        <v>18</v>
      </c>
      <c r="D64" s="6" t="s">
        <v>19</v>
      </c>
      <c r="E64" s="6" t="s">
        <v>52</v>
      </c>
      <c r="F64" s="6" t="s">
        <v>10</v>
      </c>
      <c r="G64" s="8">
        <v>-1.99</v>
      </c>
    </row>
    <row r="65" spans="1:7" hidden="1">
      <c r="A65" s="7">
        <v>45950</v>
      </c>
      <c r="B65" s="6" t="str">
        <f t="shared" si="1"/>
        <v>octubre 2025</v>
      </c>
      <c r="C65" s="6" t="s">
        <v>18</v>
      </c>
      <c r="D65" s="6" t="s">
        <v>26</v>
      </c>
      <c r="F65" s="6" t="s">
        <v>10</v>
      </c>
      <c r="G65" s="8">
        <v>-50</v>
      </c>
    </row>
    <row r="66" spans="1:7" hidden="1">
      <c r="A66" s="7">
        <v>45950</v>
      </c>
      <c r="B66" s="6" t="str">
        <f t="shared" si="1"/>
        <v>octubre 2025</v>
      </c>
      <c r="C66" s="6" t="s">
        <v>18</v>
      </c>
      <c r="D66" s="6" t="s">
        <v>53</v>
      </c>
      <c r="E66" s="6" t="s">
        <v>54</v>
      </c>
      <c r="F66" s="6" t="s">
        <v>45</v>
      </c>
      <c r="G66" s="8">
        <v>-3.5</v>
      </c>
    </row>
    <row r="67" spans="1:7" hidden="1">
      <c r="A67" s="7">
        <v>45951</v>
      </c>
      <c r="B67" s="6" t="str">
        <f t="shared" si="1"/>
        <v>octubre 2025</v>
      </c>
      <c r="C67" s="6" t="s">
        <v>11</v>
      </c>
      <c r="D67" s="6" t="s">
        <v>16</v>
      </c>
      <c r="E67" s="6" t="s">
        <v>55</v>
      </c>
      <c r="F67" s="6" t="s">
        <v>10</v>
      </c>
      <c r="G67" s="8">
        <v>-23</v>
      </c>
    </row>
    <row r="68" spans="1:7" hidden="1">
      <c r="A68" s="7">
        <v>45953</v>
      </c>
      <c r="B68" s="6" t="str">
        <f t="shared" si="1"/>
        <v>octubre 2025</v>
      </c>
      <c r="C68" s="6" t="s">
        <v>11</v>
      </c>
      <c r="D68" s="6" t="s">
        <v>28</v>
      </c>
      <c r="F68" s="6" t="s">
        <v>10</v>
      </c>
      <c r="G68" s="8">
        <v>-15.39</v>
      </c>
    </row>
    <row r="69" spans="1:7" hidden="1">
      <c r="A69" s="7">
        <v>45955</v>
      </c>
      <c r="B69" s="6" t="str">
        <f t="shared" si="1"/>
        <v>octubre 2025</v>
      </c>
      <c r="C69" s="6" t="s">
        <v>18</v>
      </c>
      <c r="D69" s="6" t="s">
        <v>33</v>
      </c>
      <c r="F69" s="6" t="s">
        <v>45</v>
      </c>
      <c r="G69" s="8">
        <v>-28.75</v>
      </c>
    </row>
    <row r="70" spans="1:7" hidden="1">
      <c r="A70" s="7">
        <v>45955</v>
      </c>
      <c r="B70" s="6" t="str">
        <f t="shared" si="1"/>
        <v>octubre 2025</v>
      </c>
      <c r="C70" s="6" t="s">
        <v>18</v>
      </c>
      <c r="D70" s="6" t="s">
        <v>21</v>
      </c>
      <c r="E70" s="6" t="s">
        <v>56</v>
      </c>
      <c r="F70" s="6" t="s">
        <v>10</v>
      </c>
      <c r="G70" s="8">
        <v>-3.99</v>
      </c>
    </row>
    <row r="71" spans="1:7" hidden="1">
      <c r="A71" s="7">
        <v>45955</v>
      </c>
      <c r="B71" s="6" t="str">
        <f t="shared" si="1"/>
        <v>octubre 2025</v>
      </c>
      <c r="C71" s="6" t="s">
        <v>18</v>
      </c>
      <c r="D71" s="6" t="s">
        <v>53</v>
      </c>
      <c r="F71" s="6" t="s">
        <v>45</v>
      </c>
      <c r="G71" s="8">
        <v>-10</v>
      </c>
    </row>
    <row r="72" spans="1:7" hidden="1">
      <c r="A72" s="7">
        <v>45955</v>
      </c>
      <c r="B72" s="6" t="str">
        <f t="shared" si="1"/>
        <v>octubre 2025</v>
      </c>
      <c r="C72" s="6" t="s">
        <v>18</v>
      </c>
      <c r="D72" s="6" t="s">
        <v>21</v>
      </c>
      <c r="E72" s="6" t="s">
        <v>57</v>
      </c>
      <c r="F72" s="6" t="s">
        <v>10</v>
      </c>
      <c r="G72" s="8">
        <v>-3</v>
      </c>
    </row>
    <row r="73" spans="1:7" hidden="1">
      <c r="A73" s="7">
        <v>45955</v>
      </c>
      <c r="B73" s="6" t="str">
        <f t="shared" si="1"/>
        <v>octubre 2025</v>
      </c>
      <c r="C73" s="6" t="s">
        <v>18</v>
      </c>
      <c r="D73" s="6" t="s">
        <v>53</v>
      </c>
      <c r="E73" s="6" t="s">
        <v>58</v>
      </c>
      <c r="F73" s="6" t="s">
        <v>45</v>
      </c>
      <c r="G73" s="8">
        <v>-19.3</v>
      </c>
    </row>
    <row r="74" spans="1:7" hidden="1">
      <c r="A74" s="7">
        <v>45955</v>
      </c>
      <c r="B74" s="6" t="str">
        <f t="shared" si="1"/>
        <v>octubre 2025</v>
      </c>
      <c r="C74" s="6" t="s">
        <v>18</v>
      </c>
      <c r="D74" s="6" t="s">
        <v>25</v>
      </c>
      <c r="F74" s="6" t="s">
        <v>45</v>
      </c>
      <c r="G74" s="8">
        <v>-24.48</v>
      </c>
    </row>
    <row r="75" spans="1:7" hidden="1">
      <c r="A75" s="7">
        <v>45958</v>
      </c>
      <c r="B75" s="6" t="str">
        <f t="shared" si="1"/>
        <v>octubre 2025</v>
      </c>
      <c r="C75" s="6" t="s">
        <v>11</v>
      </c>
      <c r="D75" s="6" t="s">
        <v>29</v>
      </c>
      <c r="E75" s="6" t="s">
        <v>30</v>
      </c>
      <c r="F75" s="6" t="s">
        <v>10</v>
      </c>
      <c r="G75" s="8">
        <v>-20.11</v>
      </c>
    </row>
    <row r="76" spans="1:7" hidden="1">
      <c r="A76" s="7">
        <v>45958</v>
      </c>
      <c r="B76" s="6" t="str">
        <f t="shared" si="1"/>
        <v>octubre 2025</v>
      </c>
      <c r="C76" s="6" t="s">
        <v>18</v>
      </c>
      <c r="D76" s="6" t="s">
        <v>25</v>
      </c>
      <c r="F76" s="6" t="s">
        <v>10</v>
      </c>
      <c r="G76" s="8">
        <v>-3.39</v>
      </c>
    </row>
    <row r="77" spans="1:7" hidden="1">
      <c r="A77" s="7">
        <v>45959</v>
      </c>
      <c r="B77" s="6" t="str">
        <f t="shared" si="1"/>
        <v>octubre 2025</v>
      </c>
      <c r="C77" s="6" t="s">
        <v>7</v>
      </c>
      <c r="D77" s="6" t="s">
        <v>59</v>
      </c>
      <c r="F77" s="6" t="s">
        <v>10</v>
      </c>
      <c r="G77" s="8">
        <v>553.14</v>
      </c>
    </row>
    <row r="78" spans="1:7" hidden="1">
      <c r="A78" s="7">
        <v>45961</v>
      </c>
      <c r="B78" s="6" t="str">
        <f t="shared" si="1"/>
        <v>octubre 2025</v>
      </c>
      <c r="C78" s="6" t="s">
        <v>18</v>
      </c>
      <c r="D78" s="6" t="s">
        <v>60</v>
      </c>
      <c r="F78" s="6" t="s">
        <v>10</v>
      </c>
      <c r="G78" s="8">
        <v>-10</v>
      </c>
    </row>
    <row r="79" spans="1:7" hidden="1">
      <c r="A79" s="7">
        <v>45961</v>
      </c>
      <c r="B79" s="6" t="str">
        <f t="shared" si="1"/>
        <v>octubre 2025</v>
      </c>
      <c r="C79" s="6" t="s">
        <v>18</v>
      </c>
      <c r="D79" s="6" t="s">
        <v>33</v>
      </c>
      <c r="F79" s="6" t="s">
        <v>45</v>
      </c>
      <c r="G79" s="8">
        <v>-13.25</v>
      </c>
    </row>
    <row r="80" spans="1:7" hidden="1">
      <c r="A80" s="7">
        <v>45961</v>
      </c>
      <c r="B80" s="6" t="str">
        <f t="shared" si="1"/>
        <v>octubre 2025</v>
      </c>
      <c r="C80" s="6" t="s">
        <v>39</v>
      </c>
      <c r="D80" s="6" t="s">
        <v>40</v>
      </c>
      <c r="F80" s="6" t="s">
        <v>10</v>
      </c>
      <c r="G80" s="8">
        <v>-3938.37</v>
      </c>
    </row>
    <row r="81" spans="1:7" hidden="1">
      <c r="A81" s="7">
        <v>45962</v>
      </c>
      <c r="B81" s="6" t="str">
        <f t="shared" si="1"/>
        <v>noviembre 2025</v>
      </c>
      <c r="C81" s="6" t="s">
        <v>11</v>
      </c>
      <c r="D81" s="6" t="s">
        <v>28</v>
      </c>
      <c r="F81" s="6" t="s">
        <v>10</v>
      </c>
      <c r="G81" s="8">
        <v>-76.36</v>
      </c>
    </row>
    <row r="82" spans="1:7" hidden="1">
      <c r="A82" s="7">
        <v>45962</v>
      </c>
      <c r="B82" s="6" t="str">
        <f t="shared" si="1"/>
        <v>noviembre 2025</v>
      </c>
      <c r="C82" s="6" t="s">
        <v>11</v>
      </c>
      <c r="D82" s="6" t="s">
        <v>12</v>
      </c>
      <c r="F82" s="6" t="s">
        <v>10</v>
      </c>
      <c r="G82" s="8">
        <v>-690.52</v>
      </c>
    </row>
    <row r="83" spans="1:7" hidden="1">
      <c r="A83" s="7">
        <v>45962</v>
      </c>
      <c r="B83" s="6" t="str">
        <f t="shared" si="1"/>
        <v>noviembre 2025</v>
      </c>
      <c r="C83" s="6" t="s">
        <v>11</v>
      </c>
      <c r="D83" s="6" t="s">
        <v>14</v>
      </c>
      <c r="F83" s="6" t="s">
        <v>10</v>
      </c>
      <c r="G83" s="8">
        <v>-62.59</v>
      </c>
    </row>
    <row r="84" spans="1:7" hidden="1">
      <c r="A84" s="7">
        <v>45962</v>
      </c>
      <c r="B84" s="6" t="str">
        <f t="shared" si="1"/>
        <v>noviembre 2025</v>
      </c>
      <c r="C84" s="6" t="s">
        <v>7</v>
      </c>
      <c r="D84" s="6" t="s">
        <v>59</v>
      </c>
      <c r="F84" s="6" t="s">
        <v>10</v>
      </c>
      <c r="G84" s="8">
        <v>2126.0300000000002</v>
      </c>
    </row>
    <row r="85" spans="1:7" hidden="1">
      <c r="A85" s="7">
        <v>45963</v>
      </c>
      <c r="B85" s="6" t="str">
        <f t="shared" si="1"/>
        <v>noviembre 2025</v>
      </c>
      <c r="C85" s="6" t="s">
        <v>11</v>
      </c>
      <c r="D85" s="6" t="s">
        <v>16</v>
      </c>
      <c r="E85" s="6" t="s">
        <v>17</v>
      </c>
      <c r="F85" s="6" t="s">
        <v>10</v>
      </c>
      <c r="G85" s="8">
        <v>-3.25</v>
      </c>
    </row>
    <row r="86" spans="1:7" hidden="1">
      <c r="A86" s="7">
        <v>45963</v>
      </c>
      <c r="B86" s="6" t="str">
        <f t="shared" si="1"/>
        <v>noviembre 2025</v>
      </c>
      <c r="C86" s="6" t="s">
        <v>18</v>
      </c>
      <c r="D86" s="6" t="s">
        <v>25</v>
      </c>
      <c r="F86" s="6" t="s">
        <v>10</v>
      </c>
      <c r="G86" s="8">
        <v>-7.8</v>
      </c>
    </row>
    <row r="87" spans="1:7" hidden="1">
      <c r="A87" s="7">
        <v>45964</v>
      </c>
      <c r="B87" s="6" t="str">
        <f t="shared" si="1"/>
        <v>noviembre 2025</v>
      </c>
      <c r="C87" s="6" t="s">
        <v>11</v>
      </c>
      <c r="D87" s="6" t="s">
        <v>27</v>
      </c>
      <c r="F87" s="6" t="s">
        <v>10</v>
      </c>
      <c r="G87" s="8">
        <v>-29.99</v>
      </c>
    </row>
    <row r="88" spans="1:7" hidden="1">
      <c r="A88" s="7">
        <v>45968</v>
      </c>
      <c r="B88" s="6" t="str">
        <f t="shared" si="1"/>
        <v>noviembre 2025</v>
      </c>
      <c r="C88" s="6" t="s">
        <v>11</v>
      </c>
      <c r="D88" s="6" t="s">
        <v>16</v>
      </c>
      <c r="E88" s="6" t="s">
        <v>31</v>
      </c>
      <c r="F88" s="6" t="s">
        <v>10</v>
      </c>
      <c r="G88" s="8">
        <v>-6.99</v>
      </c>
    </row>
    <row r="89" spans="1:7" hidden="1">
      <c r="A89" s="7">
        <v>45969</v>
      </c>
      <c r="B89" s="6" t="str">
        <f t="shared" si="1"/>
        <v>noviembre 2025</v>
      </c>
      <c r="C89" s="6" t="s">
        <v>18</v>
      </c>
      <c r="D89" s="6" t="s">
        <v>25</v>
      </c>
      <c r="F89" s="6" t="s">
        <v>10</v>
      </c>
      <c r="G89" s="8">
        <v>-1.5</v>
      </c>
    </row>
    <row r="90" spans="1:7" hidden="1">
      <c r="A90" s="7">
        <v>45970</v>
      </c>
      <c r="B90" s="6" t="str">
        <f t="shared" si="1"/>
        <v>noviembre 2025</v>
      </c>
      <c r="C90" s="6" t="s">
        <v>18</v>
      </c>
      <c r="D90" s="6" t="s">
        <v>61</v>
      </c>
      <c r="F90" s="6" t="s">
        <v>45</v>
      </c>
      <c r="G90" s="8">
        <v>-9.25</v>
      </c>
    </row>
    <row r="91" spans="1:7" hidden="1">
      <c r="A91" s="7">
        <v>45971</v>
      </c>
      <c r="B91" s="6" t="str">
        <f t="shared" si="1"/>
        <v>noviembre 2025</v>
      </c>
      <c r="C91" s="6" t="s">
        <v>18</v>
      </c>
      <c r="D91" s="6" t="s">
        <v>32</v>
      </c>
      <c r="F91" s="6" t="s">
        <v>10</v>
      </c>
      <c r="G91" s="8">
        <v>-15</v>
      </c>
    </row>
    <row r="92" spans="1:7" hidden="1">
      <c r="A92" s="7">
        <v>45974</v>
      </c>
      <c r="B92" s="6" t="str">
        <f t="shared" si="1"/>
        <v>noviembre 2025</v>
      </c>
      <c r="C92" s="6" t="s">
        <v>18</v>
      </c>
      <c r="D92" s="6" t="s">
        <v>25</v>
      </c>
      <c r="F92" s="6" t="s">
        <v>10</v>
      </c>
      <c r="G92" s="8">
        <v>-17.55</v>
      </c>
    </row>
    <row r="93" spans="1:7" hidden="1">
      <c r="A93" s="7">
        <v>45975</v>
      </c>
      <c r="B93" s="6" t="str">
        <f t="shared" si="1"/>
        <v>noviembre 2025</v>
      </c>
      <c r="C93" s="6" t="s">
        <v>18</v>
      </c>
      <c r="D93" s="6" t="s">
        <v>33</v>
      </c>
      <c r="F93" s="6" t="s">
        <v>45</v>
      </c>
      <c r="G93" s="8">
        <v>-17.149999999999999</v>
      </c>
    </row>
    <row r="94" spans="1:7" hidden="1">
      <c r="A94" s="7">
        <v>45976</v>
      </c>
      <c r="B94" s="6" t="str">
        <f t="shared" si="1"/>
        <v>noviembre 2025</v>
      </c>
      <c r="C94" s="6" t="s">
        <v>18</v>
      </c>
      <c r="D94" s="6" t="s">
        <v>25</v>
      </c>
      <c r="F94" s="6" t="s">
        <v>10</v>
      </c>
      <c r="G94" s="8">
        <v>-16.59</v>
      </c>
    </row>
    <row r="95" spans="1:7" hidden="1">
      <c r="A95" s="7">
        <v>45976</v>
      </c>
      <c r="B95" s="6" t="str">
        <f t="shared" si="1"/>
        <v>noviembre 2025</v>
      </c>
      <c r="C95" s="6" t="s">
        <v>18</v>
      </c>
      <c r="D95" s="6" t="s">
        <v>25</v>
      </c>
      <c r="F95" s="6" t="s">
        <v>45</v>
      </c>
      <c r="G95" s="8">
        <v>-8.6999999999999993</v>
      </c>
    </row>
    <row r="96" spans="1:7" hidden="1">
      <c r="A96" s="7">
        <v>45978</v>
      </c>
      <c r="B96" s="6" t="str">
        <f t="shared" si="1"/>
        <v>noviembre 2025</v>
      </c>
      <c r="C96" s="6" t="s">
        <v>18</v>
      </c>
      <c r="D96" s="6" t="s">
        <v>25</v>
      </c>
      <c r="F96" s="6" t="s">
        <v>10</v>
      </c>
      <c r="G96" s="8">
        <v>-3.19</v>
      </c>
    </row>
    <row r="97" spans="1:7" hidden="1">
      <c r="A97" s="7">
        <v>45978</v>
      </c>
      <c r="B97" s="6" t="str">
        <f t="shared" si="1"/>
        <v>noviembre 2025</v>
      </c>
      <c r="C97" s="6" t="s">
        <v>18</v>
      </c>
      <c r="D97" s="6" t="s">
        <v>26</v>
      </c>
      <c r="F97" s="6" t="s">
        <v>10</v>
      </c>
      <c r="G97" s="8">
        <v>-40</v>
      </c>
    </row>
    <row r="98" spans="1:7" hidden="1">
      <c r="A98" s="7">
        <v>45980</v>
      </c>
      <c r="B98" s="6" t="str">
        <f t="shared" si="1"/>
        <v>noviembre 2025</v>
      </c>
      <c r="C98" s="6" t="s">
        <v>11</v>
      </c>
      <c r="D98" s="6" t="s">
        <v>16</v>
      </c>
      <c r="E98" s="6" t="s">
        <v>55</v>
      </c>
      <c r="F98" s="6" t="s">
        <v>10</v>
      </c>
      <c r="G98" s="8">
        <v>-23</v>
      </c>
    </row>
    <row r="99" spans="1:7" hidden="1">
      <c r="A99" s="7">
        <v>45980</v>
      </c>
      <c r="B99" s="6" t="str">
        <f t="shared" si="1"/>
        <v>noviembre 2025</v>
      </c>
      <c r="C99" s="6" t="s">
        <v>11</v>
      </c>
      <c r="D99" s="6" t="s">
        <v>28</v>
      </c>
      <c r="F99" s="6" t="s">
        <v>10</v>
      </c>
      <c r="G99" s="8">
        <v>-70.010000000000005</v>
      </c>
    </row>
    <row r="100" spans="1:7" hidden="1">
      <c r="A100" s="7">
        <v>45980</v>
      </c>
      <c r="B100" s="6" t="str">
        <f t="shared" si="1"/>
        <v>noviembre 2025</v>
      </c>
      <c r="C100" s="6" t="s">
        <v>18</v>
      </c>
      <c r="D100" s="6" t="s">
        <v>21</v>
      </c>
      <c r="E100" s="6" t="s">
        <v>62</v>
      </c>
      <c r="F100" s="6" t="s">
        <v>10</v>
      </c>
      <c r="G100" s="8">
        <v>-25.92</v>
      </c>
    </row>
    <row r="101" spans="1:7" hidden="1">
      <c r="A101" s="7">
        <v>45981</v>
      </c>
      <c r="B101" s="6" t="str">
        <f t="shared" si="1"/>
        <v>noviembre 2025</v>
      </c>
      <c r="C101" s="6" t="s">
        <v>7</v>
      </c>
      <c r="D101" s="6" t="s">
        <v>63</v>
      </c>
      <c r="F101" s="6" t="s">
        <v>10</v>
      </c>
      <c r="G101" s="8">
        <v>60</v>
      </c>
    </row>
    <row r="102" spans="1:7" hidden="1">
      <c r="A102" s="7">
        <v>45982</v>
      </c>
      <c r="B102" s="6" t="str">
        <f t="shared" si="1"/>
        <v>noviembre 2025</v>
      </c>
      <c r="C102" s="6" t="s">
        <v>18</v>
      </c>
      <c r="D102" s="6" t="s">
        <v>21</v>
      </c>
      <c r="E102" s="6" t="s">
        <v>64</v>
      </c>
      <c r="F102" s="6" t="s">
        <v>10</v>
      </c>
      <c r="G102" s="8">
        <v>-37.119999999999997</v>
      </c>
    </row>
    <row r="103" spans="1:7" hidden="1">
      <c r="A103" s="7">
        <v>45982</v>
      </c>
      <c r="B103" s="6" t="str">
        <f t="shared" si="1"/>
        <v>noviembre 2025</v>
      </c>
      <c r="C103" s="6" t="s">
        <v>18</v>
      </c>
      <c r="D103" s="6" t="s">
        <v>61</v>
      </c>
      <c r="F103" s="6" t="s">
        <v>10</v>
      </c>
      <c r="G103" s="8">
        <v>-9</v>
      </c>
    </row>
    <row r="104" spans="1:7" hidden="1">
      <c r="A104" s="7">
        <v>45983</v>
      </c>
      <c r="B104" s="6" t="str">
        <f t="shared" si="1"/>
        <v>noviembre 2025</v>
      </c>
      <c r="C104" s="6" t="s">
        <v>18</v>
      </c>
      <c r="D104" s="6" t="s">
        <v>25</v>
      </c>
      <c r="F104" s="6" t="s">
        <v>45</v>
      </c>
      <c r="G104" s="8">
        <v>-20.079999999999998</v>
      </c>
    </row>
    <row r="105" spans="1:7" hidden="1">
      <c r="A105" s="7">
        <v>45985</v>
      </c>
      <c r="B105" s="6" t="str">
        <f t="shared" si="1"/>
        <v>noviembre 2025</v>
      </c>
      <c r="C105" s="6" t="s">
        <v>18</v>
      </c>
      <c r="D105" s="6" t="s">
        <v>25</v>
      </c>
      <c r="F105" s="6" t="s">
        <v>10</v>
      </c>
      <c r="G105" s="8">
        <v>-4.18</v>
      </c>
    </row>
    <row r="106" spans="1:7" hidden="1">
      <c r="A106" s="7">
        <v>45988</v>
      </c>
      <c r="B106" s="6" t="str">
        <f t="shared" si="1"/>
        <v>noviembre 2025</v>
      </c>
      <c r="C106" s="6" t="s">
        <v>18</v>
      </c>
      <c r="D106" s="6" t="s">
        <v>21</v>
      </c>
      <c r="E106" s="6" t="s">
        <v>65</v>
      </c>
      <c r="F106" s="6" t="s">
        <v>10</v>
      </c>
      <c r="G106" s="8">
        <v>-13.64</v>
      </c>
    </row>
    <row r="107" spans="1:7" hidden="1">
      <c r="A107" s="7">
        <v>45990</v>
      </c>
      <c r="B107" s="6" t="str">
        <f t="shared" si="1"/>
        <v>noviembre 2025</v>
      </c>
      <c r="C107" s="6" t="s">
        <v>18</v>
      </c>
      <c r="D107" s="6" t="s">
        <v>66</v>
      </c>
      <c r="F107" s="6" t="s">
        <v>10</v>
      </c>
      <c r="G107" s="8">
        <v>-10.46</v>
      </c>
    </row>
    <row r="108" spans="1:7" hidden="1">
      <c r="A108" s="7">
        <v>45990</v>
      </c>
      <c r="B108" s="6" t="str">
        <f t="shared" si="1"/>
        <v>noviembre 2025</v>
      </c>
      <c r="C108" s="6" t="s">
        <v>18</v>
      </c>
      <c r="D108" s="6" t="s">
        <v>21</v>
      </c>
      <c r="E108" s="6" t="s">
        <v>67</v>
      </c>
      <c r="F108" s="6" t="s">
        <v>10</v>
      </c>
      <c r="G108" s="8">
        <v>0</v>
      </c>
    </row>
    <row r="109" spans="1:7" hidden="1">
      <c r="A109" s="7">
        <v>45990</v>
      </c>
      <c r="B109" s="6" t="str">
        <f t="shared" ref="B109:B154" si="2">IF(A109="","",LOWER(TEXT(A109,"[$-es-ES]mmmm"))&amp;" "&amp;YEAR(A109))</f>
        <v>noviembre 2025</v>
      </c>
      <c r="C109" s="6" t="s">
        <v>18</v>
      </c>
      <c r="D109" s="6" t="s">
        <v>21</v>
      </c>
      <c r="E109" s="6" t="s">
        <v>68</v>
      </c>
      <c r="F109" s="6" t="s">
        <v>10</v>
      </c>
      <c r="G109" s="8">
        <v>-21.56</v>
      </c>
    </row>
    <row r="110" spans="1:7" hidden="1">
      <c r="A110" s="7">
        <v>45990</v>
      </c>
      <c r="B110" s="6" t="str">
        <f t="shared" si="2"/>
        <v>noviembre 2025</v>
      </c>
      <c r="C110" s="6" t="s">
        <v>18</v>
      </c>
      <c r="D110" s="6" t="s">
        <v>66</v>
      </c>
      <c r="F110" s="6" t="s">
        <v>10</v>
      </c>
      <c r="G110" s="8">
        <v>-6</v>
      </c>
    </row>
    <row r="111" spans="1:7" hidden="1">
      <c r="A111" s="7">
        <v>45990</v>
      </c>
      <c r="B111" s="6" t="str">
        <f t="shared" si="2"/>
        <v>noviembre 2025</v>
      </c>
      <c r="C111" s="6" t="s">
        <v>18</v>
      </c>
      <c r="D111" s="6" t="s">
        <v>53</v>
      </c>
      <c r="E111" s="6" t="s">
        <v>69</v>
      </c>
      <c r="F111" s="6" t="s">
        <v>45</v>
      </c>
      <c r="G111" s="8">
        <v>-17.600000000000001</v>
      </c>
    </row>
    <row r="112" spans="1:7" hidden="1">
      <c r="A112" s="7">
        <v>45990</v>
      </c>
      <c r="B112" s="6" t="str">
        <f t="shared" si="2"/>
        <v>noviembre 2025</v>
      </c>
      <c r="C112" s="6" t="s">
        <v>18</v>
      </c>
      <c r="D112" s="6" t="s">
        <v>33</v>
      </c>
      <c r="F112" s="6" t="s">
        <v>45</v>
      </c>
      <c r="G112" s="8">
        <v>-4.7</v>
      </c>
    </row>
    <row r="113" spans="1:7" hidden="1">
      <c r="A113" s="7">
        <v>45991</v>
      </c>
      <c r="B113" s="6" t="str">
        <f t="shared" si="2"/>
        <v>noviembre 2025</v>
      </c>
      <c r="C113" s="6" t="s">
        <v>18</v>
      </c>
      <c r="D113" s="6" t="s">
        <v>25</v>
      </c>
      <c r="F113" s="6" t="s">
        <v>45</v>
      </c>
      <c r="G113" s="8">
        <v>-10.25</v>
      </c>
    </row>
    <row r="114" spans="1:7" hidden="1">
      <c r="A114" s="7">
        <v>45991</v>
      </c>
      <c r="B114" s="6" t="str">
        <f t="shared" si="2"/>
        <v>noviembre 2025</v>
      </c>
      <c r="C114" s="6" t="s">
        <v>39</v>
      </c>
      <c r="D114" s="6" t="s">
        <v>40</v>
      </c>
      <c r="F114" s="6" t="s">
        <v>10</v>
      </c>
      <c r="G114" s="8">
        <v>-906.08</v>
      </c>
    </row>
    <row r="115" spans="1:7" hidden="1">
      <c r="A115" s="7">
        <v>45992</v>
      </c>
      <c r="B115" s="6" t="str">
        <f t="shared" si="2"/>
        <v>diciembre 2025</v>
      </c>
      <c r="C115" s="6" t="s">
        <v>7</v>
      </c>
      <c r="D115" s="6" t="s">
        <v>59</v>
      </c>
      <c r="F115" s="6" t="s">
        <v>10</v>
      </c>
      <c r="G115" s="8">
        <v>2126.85</v>
      </c>
    </row>
    <row r="116" spans="1:7" hidden="1">
      <c r="A116" s="7">
        <v>45992</v>
      </c>
      <c r="B116" s="6" t="str">
        <f t="shared" si="2"/>
        <v>diciembre 2025</v>
      </c>
      <c r="C116" s="6" t="s">
        <v>11</v>
      </c>
      <c r="D116" s="6" t="s">
        <v>27</v>
      </c>
      <c r="F116" s="6" t="s">
        <v>10</v>
      </c>
      <c r="G116" s="8">
        <v>-29.99</v>
      </c>
    </row>
    <row r="117" spans="1:7" hidden="1">
      <c r="A117" s="7">
        <v>45992</v>
      </c>
      <c r="B117" s="6" t="str">
        <f t="shared" si="2"/>
        <v>diciembre 2025</v>
      </c>
      <c r="C117" s="6" t="s">
        <v>11</v>
      </c>
      <c r="D117" s="6" t="s">
        <v>12</v>
      </c>
      <c r="F117" s="6" t="s">
        <v>10</v>
      </c>
      <c r="G117" s="8">
        <v>-690.51</v>
      </c>
    </row>
    <row r="118" spans="1:7" hidden="1">
      <c r="A118" s="7">
        <v>45994</v>
      </c>
      <c r="B118" s="6" t="str">
        <f t="shared" si="2"/>
        <v>diciembre 2025</v>
      </c>
      <c r="C118" s="6" t="s">
        <v>11</v>
      </c>
      <c r="D118" s="6" t="s">
        <v>28</v>
      </c>
      <c r="F118" s="6" t="s">
        <v>10</v>
      </c>
      <c r="G118" s="8">
        <v>-54.15</v>
      </c>
    </row>
    <row r="119" spans="1:7" hidden="1">
      <c r="A119" s="7">
        <v>45994</v>
      </c>
      <c r="B119" s="6" t="str">
        <f t="shared" si="2"/>
        <v>diciembre 2025</v>
      </c>
      <c r="C119" s="6" t="s">
        <v>18</v>
      </c>
      <c r="D119" s="6" t="s">
        <v>53</v>
      </c>
      <c r="E119" s="6" t="s">
        <v>69</v>
      </c>
      <c r="F119" s="6" t="s">
        <v>45</v>
      </c>
      <c r="G119" s="8">
        <v>-27</v>
      </c>
    </row>
    <row r="120" spans="1:7" hidden="1">
      <c r="A120" s="7">
        <v>45994</v>
      </c>
      <c r="B120" s="6" t="str">
        <f t="shared" si="2"/>
        <v>diciembre 2025</v>
      </c>
      <c r="C120" s="6" t="s">
        <v>7</v>
      </c>
      <c r="D120" s="6" t="s">
        <v>42</v>
      </c>
      <c r="E120" s="6" t="s">
        <v>51</v>
      </c>
      <c r="F120" s="6" t="s">
        <v>10</v>
      </c>
      <c r="G120" s="8">
        <v>250</v>
      </c>
    </row>
    <row r="121" spans="1:7" hidden="1">
      <c r="A121" s="7">
        <v>45995</v>
      </c>
      <c r="B121" s="6" t="str">
        <f t="shared" si="2"/>
        <v>diciembre 2025</v>
      </c>
      <c r="C121" s="6" t="s">
        <v>11</v>
      </c>
      <c r="D121" s="6" t="s">
        <v>14</v>
      </c>
      <c r="F121" s="6" t="s">
        <v>10</v>
      </c>
      <c r="G121" s="8">
        <v>-13.88</v>
      </c>
    </row>
    <row r="122" spans="1:7" hidden="1">
      <c r="A122" s="7">
        <v>45998</v>
      </c>
      <c r="B122" s="6" t="str">
        <f t="shared" si="2"/>
        <v>diciembre 2025</v>
      </c>
      <c r="C122" s="6" t="s">
        <v>18</v>
      </c>
      <c r="D122" s="6" t="s">
        <v>25</v>
      </c>
      <c r="F122" s="6" t="s">
        <v>45</v>
      </c>
      <c r="G122" s="8">
        <v>-1.1000000000000001</v>
      </c>
    </row>
    <row r="123" spans="1:7" hidden="1">
      <c r="A123" s="7">
        <v>45998</v>
      </c>
      <c r="B123" s="6" t="str">
        <f t="shared" si="2"/>
        <v>diciembre 2025</v>
      </c>
      <c r="C123" s="6" t="s">
        <v>18</v>
      </c>
      <c r="D123" s="6" t="s">
        <v>33</v>
      </c>
      <c r="F123" s="6" t="s">
        <v>45</v>
      </c>
      <c r="G123" s="8">
        <v>-13.97</v>
      </c>
    </row>
    <row r="124" spans="1:7" hidden="1">
      <c r="A124" s="7">
        <v>46000</v>
      </c>
      <c r="B124" s="6" t="str">
        <f t="shared" si="2"/>
        <v>diciembre 2025</v>
      </c>
      <c r="C124" s="6" t="s">
        <v>11</v>
      </c>
      <c r="D124" s="6" t="s">
        <v>16</v>
      </c>
      <c r="E124" s="6" t="s">
        <v>31</v>
      </c>
      <c r="F124" s="6" t="s">
        <v>10</v>
      </c>
      <c r="G124" s="8">
        <v>-6.99</v>
      </c>
    </row>
    <row r="125" spans="1:7" hidden="1">
      <c r="A125" s="7">
        <v>46000</v>
      </c>
      <c r="B125" s="6" t="str">
        <f t="shared" si="2"/>
        <v>diciembre 2025</v>
      </c>
      <c r="C125" s="6" t="s">
        <v>7</v>
      </c>
      <c r="D125" s="6" t="s">
        <v>70</v>
      </c>
      <c r="F125" s="6" t="s">
        <v>10</v>
      </c>
      <c r="G125" s="8">
        <v>1723.27</v>
      </c>
    </row>
    <row r="126" spans="1:7" hidden="1">
      <c r="A126" s="7">
        <v>46000</v>
      </c>
      <c r="B126" s="6" t="str">
        <f t="shared" si="2"/>
        <v>diciembre 2025</v>
      </c>
      <c r="C126" s="6" t="s">
        <v>18</v>
      </c>
      <c r="D126" s="6" t="s">
        <v>21</v>
      </c>
      <c r="E126" s="6" t="s">
        <v>29</v>
      </c>
      <c r="F126" s="6" t="s">
        <v>10</v>
      </c>
      <c r="G126" s="8">
        <v>-34.4</v>
      </c>
    </row>
    <row r="127" spans="1:7" hidden="1">
      <c r="A127" s="7">
        <v>46000</v>
      </c>
      <c r="B127" s="6" t="str">
        <f t="shared" si="2"/>
        <v>diciembre 2025</v>
      </c>
      <c r="C127" s="6" t="s">
        <v>18</v>
      </c>
      <c r="D127" s="6" t="s">
        <v>66</v>
      </c>
      <c r="F127" s="6" t="s">
        <v>10</v>
      </c>
      <c r="G127" s="8">
        <v>-23</v>
      </c>
    </row>
    <row r="128" spans="1:7" hidden="1">
      <c r="A128" s="7">
        <v>46001</v>
      </c>
      <c r="B128" s="6" t="str">
        <f t="shared" si="2"/>
        <v>diciembre 2025</v>
      </c>
      <c r="C128" s="6" t="s">
        <v>11</v>
      </c>
      <c r="D128" s="6" t="s">
        <v>29</v>
      </c>
      <c r="E128" s="6" t="s">
        <v>30</v>
      </c>
      <c r="F128" s="6" t="s">
        <v>10</v>
      </c>
      <c r="G128" s="8">
        <v>-20.11</v>
      </c>
    </row>
    <row r="129" spans="1:7" hidden="1">
      <c r="A129" s="7">
        <v>46001</v>
      </c>
      <c r="B129" s="6" t="str">
        <f t="shared" si="2"/>
        <v>diciembre 2025</v>
      </c>
      <c r="C129" s="6" t="s">
        <v>18</v>
      </c>
      <c r="D129" s="6" t="s">
        <v>25</v>
      </c>
      <c r="F129" s="6" t="s">
        <v>10</v>
      </c>
      <c r="G129" s="8">
        <v>-11.09</v>
      </c>
    </row>
    <row r="130" spans="1:7" hidden="1">
      <c r="A130" s="7">
        <v>46001</v>
      </c>
      <c r="B130" s="6" t="str">
        <f t="shared" si="2"/>
        <v>diciembre 2025</v>
      </c>
      <c r="C130" s="6" t="s">
        <v>11</v>
      </c>
      <c r="D130" s="6" t="s">
        <v>14</v>
      </c>
      <c r="F130" s="6" t="s">
        <v>10</v>
      </c>
      <c r="G130" s="8">
        <v>-25.1</v>
      </c>
    </row>
    <row r="131" spans="1:7" hidden="1">
      <c r="A131" s="7">
        <v>46002</v>
      </c>
      <c r="B131" s="6" t="str">
        <f t="shared" si="2"/>
        <v>diciembre 2025</v>
      </c>
      <c r="C131" s="6" t="s">
        <v>18</v>
      </c>
      <c r="D131" s="6" t="s">
        <v>32</v>
      </c>
      <c r="F131" s="6" t="s">
        <v>10</v>
      </c>
      <c r="G131" s="8">
        <v>-15</v>
      </c>
    </row>
    <row r="132" spans="1:7" hidden="1">
      <c r="A132" s="7">
        <v>46003</v>
      </c>
      <c r="B132" s="6" t="str">
        <f t="shared" si="2"/>
        <v>diciembre 2025</v>
      </c>
      <c r="C132" s="6" t="s">
        <v>7</v>
      </c>
      <c r="D132" s="6" t="s">
        <v>59</v>
      </c>
      <c r="E132" s="6" t="s">
        <v>71</v>
      </c>
      <c r="F132" s="6" t="s">
        <v>10</v>
      </c>
      <c r="G132" s="8">
        <v>585.72</v>
      </c>
    </row>
    <row r="133" spans="1:7" hidden="1">
      <c r="A133" s="7">
        <v>46003</v>
      </c>
      <c r="B133" s="6" t="str">
        <f t="shared" si="2"/>
        <v>diciembre 2025</v>
      </c>
      <c r="C133" s="6" t="s">
        <v>11</v>
      </c>
      <c r="D133" s="6" t="s">
        <v>28</v>
      </c>
      <c r="F133" s="6" t="s">
        <v>10</v>
      </c>
      <c r="G133" s="8">
        <v>-42.75</v>
      </c>
    </row>
    <row r="134" spans="1:7" hidden="1">
      <c r="A134" s="7">
        <v>46005</v>
      </c>
      <c r="B134" s="6" t="str">
        <f t="shared" si="2"/>
        <v>diciembre 2025</v>
      </c>
      <c r="C134" s="6" t="s">
        <v>18</v>
      </c>
      <c r="D134" s="6" t="s">
        <v>33</v>
      </c>
      <c r="F134" s="6" t="s">
        <v>10</v>
      </c>
      <c r="G134" s="8">
        <v>-15.8</v>
      </c>
    </row>
    <row r="135" spans="1:7" hidden="1">
      <c r="A135" s="7">
        <v>46006</v>
      </c>
      <c r="B135" s="6" t="str">
        <f t="shared" si="2"/>
        <v>diciembre 2025</v>
      </c>
      <c r="C135" s="6" t="s">
        <v>18</v>
      </c>
      <c r="D135" s="6" t="s">
        <v>21</v>
      </c>
      <c r="E135" s="6" t="s">
        <v>48</v>
      </c>
      <c r="F135" s="6" t="s">
        <v>10</v>
      </c>
      <c r="G135" s="8">
        <v>-160</v>
      </c>
    </row>
    <row r="136" spans="1:7" hidden="1">
      <c r="A136" s="7">
        <v>46006</v>
      </c>
      <c r="B136" s="6" t="str">
        <f t="shared" si="2"/>
        <v>diciembre 2025</v>
      </c>
      <c r="C136" s="6" t="s">
        <v>18</v>
      </c>
      <c r="D136" s="6" t="s">
        <v>25</v>
      </c>
      <c r="F136" s="6" t="s">
        <v>45</v>
      </c>
      <c r="G136" s="8">
        <v>-1.8</v>
      </c>
    </row>
    <row r="137" spans="1:7" hidden="1">
      <c r="A137" s="7">
        <v>46008</v>
      </c>
      <c r="B137" s="6" t="str">
        <f t="shared" si="2"/>
        <v>diciembre 2025</v>
      </c>
      <c r="C137" s="6" t="s">
        <v>11</v>
      </c>
      <c r="D137" s="6" t="s">
        <v>50</v>
      </c>
      <c r="E137" s="6" t="s">
        <v>72</v>
      </c>
      <c r="F137" s="6" t="s">
        <v>10</v>
      </c>
      <c r="G137" s="8">
        <v>-715.53</v>
      </c>
    </row>
    <row r="138" spans="1:7" hidden="1">
      <c r="A138" s="7">
        <v>46010</v>
      </c>
      <c r="B138" s="6" t="str">
        <f t="shared" si="2"/>
        <v>diciembre 2025</v>
      </c>
      <c r="C138" s="6" t="s">
        <v>18</v>
      </c>
      <c r="D138" s="6" t="s">
        <v>21</v>
      </c>
      <c r="E138" s="6" t="s">
        <v>73</v>
      </c>
      <c r="F138" s="6" t="s">
        <v>10</v>
      </c>
      <c r="G138" s="8">
        <v>-400</v>
      </c>
    </row>
    <row r="139" spans="1:7" hidden="1">
      <c r="A139" s="7">
        <v>46010</v>
      </c>
      <c r="B139" s="6" t="str">
        <f t="shared" si="2"/>
        <v>diciembre 2025</v>
      </c>
      <c r="C139" s="6" t="s">
        <v>18</v>
      </c>
      <c r="D139" s="6" t="s">
        <v>25</v>
      </c>
      <c r="F139" s="6" t="s">
        <v>10</v>
      </c>
      <c r="G139" s="8">
        <v>-6.49</v>
      </c>
    </row>
    <row r="140" spans="1:7" hidden="1">
      <c r="A140" s="7">
        <v>46010</v>
      </c>
      <c r="B140" s="6" t="str">
        <f t="shared" si="2"/>
        <v>diciembre 2025</v>
      </c>
      <c r="C140" s="6" t="s">
        <v>11</v>
      </c>
      <c r="D140" s="6" t="s">
        <v>16</v>
      </c>
      <c r="E140" s="6" t="s">
        <v>55</v>
      </c>
      <c r="F140" s="6" t="s">
        <v>10</v>
      </c>
      <c r="G140" s="8">
        <v>-23</v>
      </c>
    </row>
    <row r="141" spans="1:7" hidden="1">
      <c r="A141" s="7">
        <v>46013</v>
      </c>
      <c r="B141" s="6" t="str">
        <f t="shared" si="2"/>
        <v>diciembre 2025</v>
      </c>
      <c r="C141" s="6" t="s">
        <v>18</v>
      </c>
      <c r="D141" s="6" t="s">
        <v>33</v>
      </c>
      <c r="F141" s="6" t="s">
        <v>10</v>
      </c>
      <c r="G141" s="8">
        <v>-19</v>
      </c>
    </row>
    <row r="142" spans="1:7" hidden="1">
      <c r="A142" s="7">
        <v>46013</v>
      </c>
      <c r="B142" s="6" t="str">
        <f t="shared" si="2"/>
        <v>diciembre 2025</v>
      </c>
      <c r="C142" s="6" t="s">
        <v>18</v>
      </c>
      <c r="D142" s="6" t="s">
        <v>26</v>
      </c>
      <c r="F142" s="6" t="s">
        <v>10</v>
      </c>
      <c r="G142" s="8">
        <v>-22.27</v>
      </c>
    </row>
    <row r="143" spans="1:7" hidden="1">
      <c r="A143" s="7">
        <v>46014</v>
      </c>
      <c r="B143" s="6" t="str">
        <f t="shared" si="2"/>
        <v>diciembre 2025</v>
      </c>
      <c r="C143" s="6" t="s">
        <v>18</v>
      </c>
      <c r="D143" s="6" t="s">
        <v>21</v>
      </c>
      <c r="E143" s="6" t="s">
        <v>74</v>
      </c>
      <c r="F143" s="6" t="s">
        <v>10</v>
      </c>
      <c r="G143" s="8">
        <v>-34.04</v>
      </c>
    </row>
    <row r="144" spans="1:7" hidden="1">
      <c r="A144" s="7">
        <v>46014</v>
      </c>
      <c r="B144" s="6" t="str">
        <f t="shared" si="2"/>
        <v>diciembre 2025</v>
      </c>
      <c r="C144" s="6" t="s">
        <v>18</v>
      </c>
      <c r="D144" s="6" t="s">
        <v>25</v>
      </c>
      <c r="F144" s="6" t="s">
        <v>10</v>
      </c>
      <c r="G144" s="8">
        <v>-3.19</v>
      </c>
    </row>
    <row r="145" spans="1:7" hidden="1">
      <c r="A145" s="7">
        <v>46014</v>
      </c>
      <c r="B145" s="6" t="str">
        <f t="shared" si="2"/>
        <v>diciembre 2025</v>
      </c>
      <c r="C145" s="6" t="s">
        <v>18</v>
      </c>
      <c r="D145" s="6" t="s">
        <v>33</v>
      </c>
      <c r="F145" s="6" t="s">
        <v>10</v>
      </c>
      <c r="G145" s="8">
        <v>-17</v>
      </c>
    </row>
    <row r="146" spans="1:7" hidden="1">
      <c r="A146" s="7">
        <v>46015</v>
      </c>
      <c r="B146" s="6" t="str">
        <f t="shared" si="2"/>
        <v>diciembre 2025</v>
      </c>
      <c r="C146" s="6" t="s">
        <v>18</v>
      </c>
      <c r="D146" s="6" t="s">
        <v>33</v>
      </c>
      <c r="F146" s="6" t="s">
        <v>10</v>
      </c>
      <c r="G146" s="8">
        <v>-19.2</v>
      </c>
    </row>
    <row r="147" spans="1:7" hidden="1">
      <c r="A147" s="7">
        <v>46015</v>
      </c>
      <c r="B147" s="6" t="str">
        <f t="shared" si="2"/>
        <v>diciembre 2025</v>
      </c>
      <c r="C147" s="6" t="s">
        <v>18</v>
      </c>
      <c r="D147" s="6" t="s">
        <v>21</v>
      </c>
      <c r="E147" s="6" t="s">
        <v>75</v>
      </c>
      <c r="F147" s="6" t="s">
        <v>10</v>
      </c>
      <c r="G147" s="8">
        <v>-36.979999999999997</v>
      </c>
    </row>
    <row r="148" spans="1:7" hidden="1">
      <c r="A148" s="7">
        <v>46017</v>
      </c>
      <c r="B148" s="6" t="str">
        <f t="shared" si="2"/>
        <v>diciembre 2025</v>
      </c>
      <c r="C148" s="6" t="s">
        <v>7</v>
      </c>
      <c r="D148" s="6" t="s">
        <v>63</v>
      </c>
      <c r="F148" s="6" t="s">
        <v>10</v>
      </c>
      <c r="G148" s="8">
        <v>225</v>
      </c>
    </row>
    <row r="149" spans="1:7" hidden="1">
      <c r="A149" s="7">
        <v>46020</v>
      </c>
      <c r="B149" s="6" t="str">
        <f t="shared" si="2"/>
        <v>diciembre 2025</v>
      </c>
      <c r="C149" s="6" t="s">
        <v>18</v>
      </c>
      <c r="D149" s="6" t="s">
        <v>33</v>
      </c>
      <c r="F149" s="6" t="s">
        <v>10</v>
      </c>
      <c r="G149" s="8">
        <v>-28</v>
      </c>
    </row>
    <row r="150" spans="1:7" hidden="1">
      <c r="A150" s="7">
        <v>46020</v>
      </c>
      <c r="B150" s="6" t="str">
        <f t="shared" si="2"/>
        <v>diciembre 2025</v>
      </c>
      <c r="C150" s="6" t="s">
        <v>18</v>
      </c>
      <c r="D150" s="6" t="s">
        <v>25</v>
      </c>
      <c r="F150" s="6" t="s">
        <v>10</v>
      </c>
      <c r="G150" s="8">
        <v>-9</v>
      </c>
    </row>
    <row r="151" spans="1:7" hidden="1">
      <c r="A151" s="7">
        <v>46020</v>
      </c>
      <c r="B151" s="6" t="str">
        <f t="shared" si="2"/>
        <v>diciembre 2025</v>
      </c>
      <c r="C151" s="6" t="s">
        <v>18</v>
      </c>
      <c r="D151" s="6" t="s">
        <v>66</v>
      </c>
      <c r="F151" s="6" t="s">
        <v>10</v>
      </c>
      <c r="G151" s="8">
        <v>-12.75</v>
      </c>
    </row>
    <row r="152" spans="1:7" hidden="1">
      <c r="A152" s="7">
        <v>46020</v>
      </c>
      <c r="B152" s="6" t="str">
        <f t="shared" si="2"/>
        <v>diciembre 2025</v>
      </c>
      <c r="C152" s="6" t="s">
        <v>11</v>
      </c>
      <c r="D152" s="6" t="s">
        <v>27</v>
      </c>
      <c r="F152" s="6" t="s">
        <v>10</v>
      </c>
      <c r="G152" s="8">
        <v>-29.99</v>
      </c>
    </row>
    <row r="153" spans="1:7" hidden="1">
      <c r="A153" s="7">
        <v>46022</v>
      </c>
      <c r="B153" s="6" t="str">
        <f t="shared" si="2"/>
        <v>diciembre 2025</v>
      </c>
      <c r="C153" s="6" t="s">
        <v>11</v>
      </c>
      <c r="D153" s="6" t="s">
        <v>14</v>
      </c>
      <c r="F153" s="6" t="s">
        <v>10</v>
      </c>
      <c r="G153" s="8">
        <v>-18.940000000000001</v>
      </c>
    </row>
    <row r="154" spans="1:7" hidden="1">
      <c r="A154" s="7">
        <v>46022</v>
      </c>
      <c r="B154" s="6" t="str">
        <f t="shared" si="2"/>
        <v>diciembre 2025</v>
      </c>
      <c r="C154" s="6" t="s">
        <v>39</v>
      </c>
      <c r="D154" s="6" t="s">
        <v>40</v>
      </c>
      <c r="F154" s="6" t="s">
        <v>10</v>
      </c>
      <c r="G154" s="8">
        <v>-2328.8200000000002</v>
      </c>
    </row>
    <row r="155" spans="1:7" hidden="1">
      <c r="A155" s="7">
        <v>46023</v>
      </c>
      <c r="B155" s="6" t="str">
        <f t="shared" ref="B155:B192" si="3">IF(A155="","",LOWER(TEXT(A155,"[$-es-ES]mmmm"))&amp;" "&amp;YEAR(A155))</f>
        <v>enero 2026</v>
      </c>
      <c r="C155" s="6" t="s">
        <v>7</v>
      </c>
      <c r="D155" s="6" t="s">
        <v>59</v>
      </c>
      <c r="F155" s="6" t="s">
        <v>10</v>
      </c>
      <c r="G155" s="8">
        <v>2100</v>
      </c>
    </row>
    <row r="156" spans="1:7" hidden="1">
      <c r="A156" s="7">
        <v>46023</v>
      </c>
      <c r="B156" s="6" t="str">
        <f t="shared" si="3"/>
        <v>enero 2026</v>
      </c>
      <c r="C156" s="6" t="s">
        <v>11</v>
      </c>
      <c r="D156" s="6" t="s">
        <v>12</v>
      </c>
      <c r="F156" s="6" t="s">
        <v>10</v>
      </c>
      <c r="G156" s="8">
        <v>-690.52</v>
      </c>
    </row>
    <row r="157" spans="1:7" hidden="1">
      <c r="A157" s="7">
        <v>46024</v>
      </c>
      <c r="B157" s="6" t="str">
        <f t="shared" si="3"/>
        <v>enero 2026</v>
      </c>
      <c r="C157" s="6" t="s">
        <v>11</v>
      </c>
      <c r="D157" s="6" t="s">
        <v>14</v>
      </c>
      <c r="F157" s="6" t="s">
        <v>10</v>
      </c>
      <c r="G157" s="8">
        <v>-19.86</v>
      </c>
    </row>
    <row r="158" spans="1:7" hidden="1">
      <c r="A158" s="7">
        <v>46024</v>
      </c>
      <c r="B158" s="6" t="str">
        <f t="shared" si="3"/>
        <v>enero 2026</v>
      </c>
      <c r="C158" s="6" t="s">
        <v>18</v>
      </c>
      <c r="D158" s="6" t="s">
        <v>26</v>
      </c>
      <c r="F158" s="6" t="s">
        <v>10</v>
      </c>
      <c r="G158" s="8">
        <v>-20</v>
      </c>
    </row>
    <row r="159" spans="1:7" hidden="1">
      <c r="A159" s="7">
        <v>46027</v>
      </c>
      <c r="B159" s="6" t="str">
        <f t="shared" si="3"/>
        <v>enero 2026</v>
      </c>
      <c r="C159" s="6" t="s">
        <v>7</v>
      </c>
      <c r="D159" s="6" t="s">
        <v>63</v>
      </c>
      <c r="F159" s="6" t="s">
        <v>10</v>
      </c>
      <c r="G159" s="8">
        <v>500</v>
      </c>
    </row>
    <row r="160" spans="1:7" hidden="1">
      <c r="A160" s="7">
        <v>46027</v>
      </c>
      <c r="B160" s="6" t="str">
        <f t="shared" si="3"/>
        <v>enero 2026</v>
      </c>
      <c r="C160" s="6" t="s">
        <v>7</v>
      </c>
      <c r="D160" s="6" t="s">
        <v>42</v>
      </c>
      <c r="E160" s="6" t="s">
        <v>51</v>
      </c>
      <c r="F160" s="6" t="s">
        <v>10</v>
      </c>
      <c r="G160" s="8">
        <v>250</v>
      </c>
    </row>
    <row r="161" spans="1:7" hidden="1">
      <c r="A161" s="7">
        <v>46029</v>
      </c>
      <c r="B161" s="6" t="str">
        <f t="shared" si="3"/>
        <v>enero 2026</v>
      </c>
      <c r="C161" s="6" t="s">
        <v>11</v>
      </c>
      <c r="D161" s="6" t="s">
        <v>14</v>
      </c>
      <c r="F161" s="6" t="s">
        <v>10</v>
      </c>
      <c r="G161" s="8">
        <v>-18.559999999999999</v>
      </c>
    </row>
    <row r="162" spans="1:7" hidden="1">
      <c r="A162" s="7">
        <v>46029</v>
      </c>
      <c r="B162" s="6" t="str">
        <f t="shared" si="3"/>
        <v>enero 2026</v>
      </c>
      <c r="C162" s="6" t="s">
        <v>18</v>
      </c>
      <c r="D162" s="6" t="s">
        <v>25</v>
      </c>
      <c r="F162" s="6" t="s">
        <v>10</v>
      </c>
      <c r="G162" s="8">
        <v>-23.45</v>
      </c>
    </row>
    <row r="163" spans="1:7" hidden="1">
      <c r="A163" s="7">
        <v>46030</v>
      </c>
      <c r="B163" s="6" t="str">
        <f t="shared" si="3"/>
        <v>enero 2026</v>
      </c>
      <c r="C163" s="6" t="s">
        <v>11</v>
      </c>
      <c r="D163" s="6" t="s">
        <v>28</v>
      </c>
      <c r="F163" s="6" t="s">
        <v>10</v>
      </c>
      <c r="G163" s="8">
        <v>-74.41</v>
      </c>
    </row>
    <row r="164" spans="1:7" hidden="1">
      <c r="A164" s="7">
        <v>46031</v>
      </c>
      <c r="B164" s="6" t="str">
        <f t="shared" si="3"/>
        <v>enero 2026</v>
      </c>
      <c r="C164" s="6" t="s">
        <v>11</v>
      </c>
      <c r="D164" s="6" t="s">
        <v>16</v>
      </c>
      <c r="E164" s="6" t="s">
        <v>31</v>
      </c>
      <c r="F164" s="6" t="s">
        <v>10</v>
      </c>
      <c r="G164" s="8">
        <v>-6.99</v>
      </c>
    </row>
    <row r="165" spans="1:7" hidden="1">
      <c r="A165" s="7">
        <v>46032</v>
      </c>
      <c r="B165" s="6" t="str">
        <f t="shared" si="3"/>
        <v>enero 2026</v>
      </c>
      <c r="C165" s="6" t="s">
        <v>18</v>
      </c>
      <c r="D165" s="6" t="s">
        <v>53</v>
      </c>
      <c r="F165" s="6" t="s">
        <v>10</v>
      </c>
      <c r="G165" s="8">
        <v>-67.8</v>
      </c>
    </row>
    <row r="166" spans="1:7" hidden="1">
      <c r="A166" s="7">
        <v>46032</v>
      </c>
      <c r="B166" s="6" t="str">
        <f t="shared" si="3"/>
        <v>enero 2026</v>
      </c>
      <c r="C166" s="6" t="s">
        <v>18</v>
      </c>
      <c r="D166" s="6" t="s">
        <v>33</v>
      </c>
      <c r="F166" s="6" t="s">
        <v>45</v>
      </c>
      <c r="G166" s="8">
        <v>-16.170000000000002</v>
      </c>
    </row>
    <row r="167" spans="1:7" hidden="1">
      <c r="A167" s="7">
        <v>46033</v>
      </c>
      <c r="B167" s="6" t="str">
        <f t="shared" si="3"/>
        <v>enero 2026</v>
      </c>
      <c r="C167" s="6" t="s">
        <v>18</v>
      </c>
      <c r="D167" s="6" t="s">
        <v>25</v>
      </c>
      <c r="F167" s="6" t="s">
        <v>10</v>
      </c>
      <c r="G167" s="8">
        <v>-6.21</v>
      </c>
    </row>
    <row r="168" spans="1:7" hidden="1">
      <c r="A168" s="7">
        <v>46034</v>
      </c>
      <c r="B168" s="6" t="str">
        <f t="shared" si="3"/>
        <v>enero 2026</v>
      </c>
      <c r="C168" s="6" t="s">
        <v>18</v>
      </c>
      <c r="D168" s="6" t="s">
        <v>32</v>
      </c>
      <c r="E168" s="6" t="s">
        <v>49</v>
      </c>
      <c r="F168" s="6" t="s">
        <v>10</v>
      </c>
      <c r="G168" s="8">
        <v>-15</v>
      </c>
    </row>
    <row r="169" spans="1:7" hidden="1">
      <c r="A169" s="7">
        <v>46037</v>
      </c>
      <c r="B169" s="6" t="str">
        <f t="shared" si="3"/>
        <v>enero 2026</v>
      </c>
      <c r="C169" s="6" t="s">
        <v>18</v>
      </c>
      <c r="D169" s="6" t="s">
        <v>26</v>
      </c>
      <c r="F169" s="6" t="s">
        <v>10</v>
      </c>
      <c r="G169" s="8">
        <v>-40</v>
      </c>
    </row>
    <row r="170" spans="1:7" hidden="1">
      <c r="A170" s="7">
        <v>46041</v>
      </c>
      <c r="B170" s="6" t="str">
        <f t="shared" si="3"/>
        <v>enero 2026</v>
      </c>
      <c r="C170" s="6" t="s">
        <v>18</v>
      </c>
      <c r="D170" s="6" t="s">
        <v>53</v>
      </c>
      <c r="F170" s="6" t="s">
        <v>10</v>
      </c>
      <c r="G170" s="8">
        <v>-30</v>
      </c>
    </row>
    <row r="171" spans="1:7" hidden="1">
      <c r="A171" s="7">
        <v>46041</v>
      </c>
      <c r="B171" s="6" t="str">
        <f t="shared" si="3"/>
        <v>enero 2026</v>
      </c>
      <c r="C171" s="6" t="s">
        <v>18</v>
      </c>
      <c r="D171" s="6" t="s">
        <v>66</v>
      </c>
      <c r="E171" s="6" t="s">
        <v>76</v>
      </c>
      <c r="F171" s="6" t="s">
        <v>10</v>
      </c>
      <c r="G171" s="8">
        <v>-21.4</v>
      </c>
    </row>
    <row r="172" spans="1:7" hidden="1">
      <c r="A172" s="7">
        <v>46041</v>
      </c>
      <c r="B172" s="6" t="str">
        <f t="shared" si="3"/>
        <v>enero 2026</v>
      </c>
      <c r="C172" s="6" t="s">
        <v>18</v>
      </c>
      <c r="D172" s="6" t="s">
        <v>25</v>
      </c>
      <c r="F172" s="6" t="s">
        <v>45</v>
      </c>
      <c r="G172" s="8">
        <v>-4.32</v>
      </c>
    </row>
    <row r="173" spans="1:7" hidden="1">
      <c r="A173" s="7">
        <v>46041</v>
      </c>
      <c r="B173" s="6" t="str">
        <f t="shared" si="3"/>
        <v>enero 2026</v>
      </c>
      <c r="C173" s="6" t="s">
        <v>18</v>
      </c>
      <c r="D173" s="6" t="s">
        <v>33</v>
      </c>
      <c r="F173" s="6" t="s">
        <v>45</v>
      </c>
      <c r="G173" s="8">
        <v>-8.5</v>
      </c>
    </row>
    <row r="174" spans="1:7" hidden="1">
      <c r="A174" s="7">
        <v>46041</v>
      </c>
      <c r="B174" s="6" t="str">
        <f t="shared" si="3"/>
        <v>enero 2026</v>
      </c>
      <c r="C174" s="6" t="s">
        <v>11</v>
      </c>
      <c r="D174" s="6" t="s">
        <v>28</v>
      </c>
      <c r="F174" s="6" t="s">
        <v>10</v>
      </c>
      <c r="G174" s="8">
        <v>-3.04</v>
      </c>
    </row>
    <row r="175" spans="1:7" hidden="1">
      <c r="A175" s="7">
        <v>46042</v>
      </c>
      <c r="B175" s="6" t="str">
        <f t="shared" si="3"/>
        <v>enero 2026</v>
      </c>
      <c r="C175" s="6" t="s">
        <v>11</v>
      </c>
      <c r="D175" s="6" t="s">
        <v>16</v>
      </c>
      <c r="E175" s="6" t="s">
        <v>55</v>
      </c>
      <c r="F175" s="6" t="s">
        <v>10</v>
      </c>
      <c r="G175" s="8">
        <v>-23</v>
      </c>
    </row>
    <row r="176" spans="1:7" hidden="1">
      <c r="A176" s="7">
        <v>46043</v>
      </c>
      <c r="B176" s="6" t="str">
        <f t="shared" si="3"/>
        <v>enero 2026</v>
      </c>
      <c r="C176" s="6" t="s">
        <v>11</v>
      </c>
      <c r="D176" s="6" t="s">
        <v>29</v>
      </c>
      <c r="E176" s="6" t="s">
        <v>30</v>
      </c>
      <c r="F176" s="6" t="s">
        <v>10</v>
      </c>
      <c r="G176" s="8">
        <v>-20.11</v>
      </c>
    </row>
    <row r="177" spans="1:7" hidden="1">
      <c r="A177" s="7">
        <v>46043</v>
      </c>
      <c r="B177" s="6" t="str">
        <f t="shared" si="3"/>
        <v>enero 2026</v>
      </c>
      <c r="C177" s="6" t="s">
        <v>11</v>
      </c>
      <c r="D177" s="6" t="s">
        <v>28</v>
      </c>
      <c r="F177" s="6" t="s">
        <v>10</v>
      </c>
      <c r="G177" s="8">
        <v>-32.770000000000003</v>
      </c>
    </row>
    <row r="178" spans="1:7" hidden="1">
      <c r="A178" s="7">
        <v>46045</v>
      </c>
      <c r="B178" s="6" t="str">
        <f t="shared" si="3"/>
        <v>enero 2026</v>
      </c>
      <c r="C178" s="6" t="s">
        <v>18</v>
      </c>
      <c r="D178" s="6" t="s">
        <v>77</v>
      </c>
      <c r="E178" s="6" t="s">
        <v>78</v>
      </c>
      <c r="F178" s="6" t="s">
        <v>10</v>
      </c>
      <c r="G178" s="8">
        <v>-33.9</v>
      </c>
    </row>
    <row r="179" spans="1:7" hidden="1">
      <c r="A179" s="7">
        <v>46045</v>
      </c>
      <c r="B179" s="6" t="str">
        <f t="shared" si="3"/>
        <v>enero 2026</v>
      </c>
      <c r="C179" s="6" t="s">
        <v>18</v>
      </c>
      <c r="D179" s="6" t="s">
        <v>33</v>
      </c>
      <c r="F179" s="6" t="s">
        <v>45</v>
      </c>
      <c r="G179" s="8">
        <v>-19.05</v>
      </c>
    </row>
    <row r="180" spans="1:7" hidden="1">
      <c r="A180" s="7">
        <v>46046</v>
      </c>
      <c r="B180" s="6" t="str">
        <f t="shared" si="3"/>
        <v>enero 2026</v>
      </c>
      <c r="C180" s="6" t="s">
        <v>18</v>
      </c>
      <c r="D180" s="6" t="s">
        <v>53</v>
      </c>
      <c r="F180" s="6" t="s">
        <v>45</v>
      </c>
      <c r="G180" s="8">
        <v>-24.2</v>
      </c>
    </row>
    <row r="181" spans="1:7" hidden="1">
      <c r="A181" s="7">
        <v>46047</v>
      </c>
      <c r="B181" s="6" t="str">
        <f t="shared" si="3"/>
        <v>enero 2026</v>
      </c>
      <c r="C181" s="6" t="s">
        <v>18</v>
      </c>
      <c r="D181" s="6" t="s">
        <v>25</v>
      </c>
      <c r="F181" s="6" t="s">
        <v>10</v>
      </c>
      <c r="G181" s="8">
        <v>-3.19</v>
      </c>
    </row>
    <row r="182" spans="1:7" hidden="1">
      <c r="A182" s="7">
        <v>46047</v>
      </c>
      <c r="B182" s="6" t="str">
        <f t="shared" si="3"/>
        <v>enero 2026</v>
      </c>
      <c r="C182" s="6" t="s">
        <v>18</v>
      </c>
      <c r="D182" s="6" t="s">
        <v>33</v>
      </c>
      <c r="F182" s="6" t="s">
        <v>45</v>
      </c>
      <c r="G182" s="8">
        <v>-21.8</v>
      </c>
    </row>
    <row r="183" spans="1:7" hidden="1">
      <c r="A183" s="7">
        <v>46047</v>
      </c>
      <c r="B183" s="6" t="str">
        <f t="shared" si="3"/>
        <v>enero 2026</v>
      </c>
      <c r="C183" s="6" t="s">
        <v>18</v>
      </c>
      <c r="D183" s="6" t="s">
        <v>25</v>
      </c>
      <c r="F183" s="6" t="s">
        <v>45</v>
      </c>
      <c r="G183" s="8">
        <v>-9.68</v>
      </c>
    </row>
    <row r="184" spans="1:7" hidden="1">
      <c r="A184" s="7">
        <v>46048</v>
      </c>
      <c r="B184" s="6" t="str">
        <f t="shared" si="3"/>
        <v>enero 2026</v>
      </c>
      <c r="C184" s="6" t="s">
        <v>11</v>
      </c>
      <c r="D184" s="6" t="s">
        <v>27</v>
      </c>
      <c r="F184" s="6" t="s">
        <v>10</v>
      </c>
      <c r="G184" s="8">
        <v>-29.99</v>
      </c>
    </row>
    <row r="185" spans="1:7" hidden="1">
      <c r="A185" s="7">
        <v>46049</v>
      </c>
      <c r="B185" s="6" t="str">
        <f t="shared" si="3"/>
        <v>enero 2026</v>
      </c>
      <c r="C185" s="6" t="s">
        <v>18</v>
      </c>
      <c r="D185" s="6" t="s">
        <v>21</v>
      </c>
      <c r="E185" s="6" t="s">
        <v>79</v>
      </c>
      <c r="F185" s="6" t="s">
        <v>10</v>
      </c>
      <c r="G185" s="8">
        <v>-13.98</v>
      </c>
    </row>
    <row r="186" spans="1:7" hidden="1">
      <c r="A186" s="7">
        <v>46049</v>
      </c>
      <c r="B186" s="6" t="str">
        <f t="shared" si="3"/>
        <v>enero 2026</v>
      </c>
      <c r="C186" s="6" t="s">
        <v>11</v>
      </c>
      <c r="D186" s="6" t="s">
        <v>28</v>
      </c>
      <c r="F186" s="6" t="s">
        <v>10</v>
      </c>
      <c r="G186" s="8">
        <v>-77.56</v>
      </c>
    </row>
    <row r="187" spans="1:7" hidden="1">
      <c r="A187" s="7">
        <v>46051</v>
      </c>
      <c r="B187" s="6" t="str">
        <f t="shared" si="3"/>
        <v>enero 2026</v>
      </c>
      <c r="C187" s="6" t="s">
        <v>11</v>
      </c>
      <c r="D187" s="6" t="s">
        <v>15</v>
      </c>
      <c r="F187" s="6" t="s">
        <v>10</v>
      </c>
      <c r="G187" s="8">
        <v>-1.29</v>
      </c>
    </row>
    <row r="188" spans="1:7" hidden="1">
      <c r="A188" s="7">
        <v>46052</v>
      </c>
      <c r="B188" s="6" t="str">
        <f t="shared" si="3"/>
        <v>enero 2026</v>
      </c>
      <c r="C188" s="6" t="s">
        <v>18</v>
      </c>
      <c r="D188" s="6" t="s">
        <v>25</v>
      </c>
      <c r="F188" s="6" t="s">
        <v>45</v>
      </c>
      <c r="G188" s="8">
        <v>-4.3</v>
      </c>
    </row>
    <row r="189" spans="1:7" hidden="1">
      <c r="A189" s="7">
        <v>46053</v>
      </c>
      <c r="B189" s="6" t="str">
        <f t="shared" si="3"/>
        <v>enero 2026</v>
      </c>
      <c r="C189" s="6" t="s">
        <v>18</v>
      </c>
      <c r="D189" s="6" t="s">
        <v>33</v>
      </c>
      <c r="F189" s="6" t="s">
        <v>10</v>
      </c>
      <c r="G189" s="8">
        <v>-36.549999999999997</v>
      </c>
    </row>
    <row r="190" spans="1:7" hidden="1">
      <c r="A190" s="7">
        <v>46051</v>
      </c>
      <c r="B190" s="6" t="str">
        <f t="shared" si="3"/>
        <v>enero 2026</v>
      </c>
      <c r="C190" s="6" t="s">
        <v>18</v>
      </c>
      <c r="D190" s="6" t="s">
        <v>21</v>
      </c>
      <c r="F190" s="6" t="s">
        <v>10</v>
      </c>
      <c r="G190" s="8">
        <v>-25.95</v>
      </c>
    </row>
    <row r="191" spans="1:7" hidden="1">
      <c r="A191" s="7">
        <v>46053</v>
      </c>
      <c r="B191" s="6" t="str">
        <f t="shared" si="3"/>
        <v>enero 2026</v>
      </c>
      <c r="C191" s="6" t="s">
        <v>18</v>
      </c>
      <c r="D191" s="6" t="s">
        <v>33</v>
      </c>
      <c r="F191" s="6" t="s">
        <v>45</v>
      </c>
      <c r="G191" s="8">
        <v>-3.3</v>
      </c>
    </row>
    <row r="192" spans="1:7" hidden="1">
      <c r="A192" s="7">
        <v>46053</v>
      </c>
      <c r="B192" s="6" t="str">
        <f t="shared" si="3"/>
        <v>enero 2026</v>
      </c>
      <c r="C192" s="6" t="s">
        <v>39</v>
      </c>
      <c r="D192" s="6" t="s">
        <v>40</v>
      </c>
      <c r="F192" s="6" t="s">
        <v>10</v>
      </c>
      <c r="G192" s="8">
        <v>-1403.15</v>
      </c>
    </row>
    <row r="193" spans="1:7" hidden="1">
      <c r="A193" s="7">
        <v>46054</v>
      </c>
      <c r="B193" s="6" t="str">
        <f>IF(A193="","",LOWER(TEXT(A193,"[$-es-ES]mmmm"))&amp;" "&amp;YEAR(A193))</f>
        <v>febrero 2026</v>
      </c>
      <c r="C193" s="6" t="s">
        <v>7</v>
      </c>
      <c r="D193" s="6" t="s">
        <v>59</v>
      </c>
      <c r="F193" s="6" t="s">
        <v>10</v>
      </c>
      <c r="G193" s="8">
        <v>2093.9</v>
      </c>
    </row>
    <row r="194" spans="1:7" hidden="1">
      <c r="A194" s="7">
        <v>46054</v>
      </c>
      <c r="B194" s="6" t="str">
        <f>IF(A194="","",LOWER(TEXT(A194,"[$-es-ES]mmmm"))&amp;" "&amp;YEAR(A194))</f>
        <v>febrero 2026</v>
      </c>
      <c r="C194" s="6" t="s">
        <v>11</v>
      </c>
      <c r="D194" s="6" t="s">
        <v>12</v>
      </c>
      <c r="F194" s="6" t="s">
        <v>10</v>
      </c>
      <c r="G194" s="8">
        <v>-690.52</v>
      </c>
    </row>
    <row r="195" spans="1:7" hidden="1">
      <c r="A195" s="7">
        <v>46056</v>
      </c>
      <c r="B195" s="6" t="str">
        <f>IF(A195="","",LOWER(TEXT(A195,"[$-es-ES]mmmm"))&amp;" "&amp;YEAR(A195))</f>
        <v>febrero 2026</v>
      </c>
      <c r="C195" s="6" t="s">
        <v>7</v>
      </c>
      <c r="D195" s="6" t="s">
        <v>42</v>
      </c>
      <c r="F195" s="6" t="s">
        <v>10</v>
      </c>
      <c r="G195" s="8">
        <v>250</v>
      </c>
    </row>
    <row r="196" spans="1:7" hidden="1">
      <c r="A196" s="7">
        <v>46056</v>
      </c>
      <c r="B196" s="6" t="str">
        <f>IF(A196="","",LOWER(TEXT(A196,"[$-es-ES]mmmm"))&amp;" "&amp;YEAR(A196))</f>
        <v>febrero 2026</v>
      </c>
      <c r="C196" s="6" t="s">
        <v>18</v>
      </c>
      <c r="D196" s="6" t="s">
        <v>21</v>
      </c>
      <c r="F196" s="6" t="s">
        <v>10</v>
      </c>
      <c r="G196" s="8">
        <v>-15</v>
      </c>
    </row>
    <row r="197" spans="1:7" hidden="1">
      <c r="A197" s="7">
        <v>46057</v>
      </c>
      <c r="B197" s="6" t="str">
        <f>IF(A197="","",LOWER(TEXT(A197,"[$-es-ES]mmmm"))&amp;" "&amp;YEAR(A197))</f>
        <v>febrero 2026</v>
      </c>
      <c r="C197" s="6" t="s">
        <v>11</v>
      </c>
      <c r="D197" s="6" t="s">
        <v>14</v>
      </c>
      <c r="F197" s="6" t="s">
        <v>10</v>
      </c>
      <c r="G197" s="8">
        <v>-73.88</v>
      </c>
    </row>
    <row r="198" spans="1:7" hidden="1">
      <c r="A198" s="7">
        <v>46059</v>
      </c>
      <c r="B198" s="6" t="str">
        <f>IF(A198="","",LOWER(TEXT(A198,"[$-es-ES]mmmm"))&amp;" "&amp;YEAR(A198))</f>
        <v>febrero 2026</v>
      </c>
      <c r="C198" s="6" t="s">
        <v>11</v>
      </c>
      <c r="D198" s="6" t="s">
        <v>28</v>
      </c>
      <c r="F198" s="6" t="s">
        <v>10</v>
      </c>
      <c r="G198" s="8">
        <v>-67.099999999999994</v>
      </c>
    </row>
    <row r="199" spans="1:7" hidden="1">
      <c r="A199" s="7">
        <v>46059</v>
      </c>
      <c r="B199" s="6" t="str">
        <f>IF(A199="","",LOWER(TEXT(A199,"[$-es-ES]mmmm"))&amp;" "&amp;YEAR(A199))</f>
        <v>febrero 2026</v>
      </c>
      <c r="C199" s="6" t="s">
        <v>18</v>
      </c>
      <c r="D199" s="6" t="s">
        <v>53</v>
      </c>
      <c r="F199" s="6" t="s">
        <v>10</v>
      </c>
      <c r="G199" s="8">
        <v>-4.95</v>
      </c>
    </row>
    <row r="200" spans="1:7" hidden="1">
      <c r="A200" s="7">
        <v>46059</v>
      </c>
      <c r="B200" s="6" t="str">
        <f>IF(A200="","",LOWER(TEXT(A200,"[$-es-ES]mmmm"))&amp;" "&amp;YEAR(A200))</f>
        <v>febrero 2026</v>
      </c>
      <c r="C200" s="6" t="s">
        <v>18</v>
      </c>
      <c r="D200" s="6" t="s">
        <v>53</v>
      </c>
      <c r="E200" s="6" t="s">
        <v>80</v>
      </c>
      <c r="F200" s="6" t="s">
        <v>45</v>
      </c>
      <c r="G200" s="8">
        <v>-9.16</v>
      </c>
    </row>
    <row r="201" spans="1:7" hidden="1">
      <c r="A201" s="7">
        <v>46059</v>
      </c>
      <c r="B201" s="6" t="str">
        <f>IF(A201="","",LOWER(TEXT(A201,"[$-es-ES]mmmm"))&amp;" "&amp;YEAR(A201))</f>
        <v>febrero 2026</v>
      </c>
      <c r="C201" s="6" t="s">
        <v>18</v>
      </c>
      <c r="D201" s="6" t="s">
        <v>53</v>
      </c>
      <c r="F201" s="6" t="s">
        <v>45</v>
      </c>
      <c r="G201" s="8">
        <v>-6.5</v>
      </c>
    </row>
    <row r="202" spans="1:7" hidden="1">
      <c r="A202" s="7">
        <v>46059</v>
      </c>
      <c r="B202" s="6" t="str">
        <f>IF(A202="","",LOWER(TEXT(A202,"[$-es-ES]mmmm"))&amp;" "&amp;YEAR(A202))</f>
        <v>febrero 2026</v>
      </c>
      <c r="C202" s="6" t="s">
        <v>18</v>
      </c>
      <c r="D202" s="6" t="s">
        <v>33</v>
      </c>
      <c r="F202" s="6" t="s">
        <v>45</v>
      </c>
      <c r="G202" s="8">
        <v>-16.170000000000002</v>
      </c>
    </row>
    <row r="203" spans="1:7" hidden="1">
      <c r="A203" s="7">
        <v>46060</v>
      </c>
      <c r="B203" s="6" t="str">
        <f>IF(A203="","",LOWER(TEXT(A203,"[$-es-ES]mmmm"))&amp;" "&amp;YEAR(A203))</f>
        <v>febrero 2026</v>
      </c>
      <c r="C203" s="6" t="s">
        <v>11</v>
      </c>
      <c r="D203" s="6" t="s">
        <v>28</v>
      </c>
      <c r="F203" s="6" t="s">
        <v>10</v>
      </c>
      <c r="G203" s="8">
        <v>-67.099999999999994</v>
      </c>
    </row>
    <row r="204" spans="1:7" hidden="1">
      <c r="A204" s="7">
        <v>46060</v>
      </c>
      <c r="B204" s="6" t="str">
        <f>IF(A204="","",LOWER(TEXT(A204,"[$-es-ES]mmmm"))&amp;" "&amp;YEAR(A204))</f>
        <v>febrero 2026</v>
      </c>
      <c r="C204" s="6" t="s">
        <v>18</v>
      </c>
      <c r="D204" s="6" t="s">
        <v>26</v>
      </c>
      <c r="F204" s="6" t="s">
        <v>10</v>
      </c>
      <c r="G204" s="8">
        <v>-40</v>
      </c>
    </row>
    <row r="205" spans="1:7" hidden="1">
      <c r="A205" s="7">
        <v>46063</v>
      </c>
      <c r="B205" s="6" t="str">
        <f>IF(A205="","",LOWER(TEXT(A205,"[$-es-ES]mmmm"))&amp;" "&amp;YEAR(A205))</f>
        <v>febrero 2026</v>
      </c>
      <c r="C205" s="6" t="s">
        <v>11</v>
      </c>
      <c r="D205" s="6" t="s">
        <v>16</v>
      </c>
      <c r="E205" s="6" t="s">
        <v>31</v>
      </c>
      <c r="F205" s="6" t="s">
        <v>10</v>
      </c>
      <c r="G205" s="8">
        <v>-6.99</v>
      </c>
    </row>
    <row r="206" spans="1:7" hidden="1">
      <c r="A206" s="7">
        <v>46063</v>
      </c>
      <c r="B206" s="6" t="str">
        <f>IF(A206="","",LOWER(TEXT(A206,"[$-es-ES]mmmm"))&amp;" "&amp;YEAR(A206))</f>
        <v>febrero 2026</v>
      </c>
      <c r="C206" s="6" t="s">
        <v>18</v>
      </c>
      <c r="D206" s="6" t="s">
        <v>33</v>
      </c>
      <c r="F206" s="6" t="s">
        <v>10</v>
      </c>
      <c r="G206" s="8">
        <v>-15.59</v>
      </c>
    </row>
    <row r="207" spans="1:7" hidden="1">
      <c r="A207" s="7">
        <v>46064</v>
      </c>
      <c r="B207" s="6" t="str">
        <f>IF(A207="","",LOWER(TEXT(A207,"[$-es-ES]mmmm"))&amp;" "&amp;YEAR(A207))</f>
        <v>febrero 2026</v>
      </c>
      <c r="C207" s="6" t="s">
        <v>18</v>
      </c>
      <c r="D207" s="6" t="s">
        <v>32</v>
      </c>
      <c r="F207" s="6" t="s">
        <v>10</v>
      </c>
      <c r="G207" s="8">
        <v>-15</v>
      </c>
    </row>
    <row r="208" spans="1:7" hidden="1">
      <c r="A208" s="7">
        <v>46064</v>
      </c>
      <c r="B208" s="6" t="str">
        <f>IF(A208="","",LOWER(TEXT(A208,"[$-es-ES]mmmm"))&amp;" "&amp;YEAR(A208))</f>
        <v>febrero 2026</v>
      </c>
      <c r="C208" s="6" t="s">
        <v>11</v>
      </c>
      <c r="D208" s="6" t="s">
        <v>29</v>
      </c>
      <c r="E208" s="6" t="s">
        <v>47</v>
      </c>
      <c r="F208" s="6" t="s">
        <v>10</v>
      </c>
      <c r="G208" s="8">
        <v>-20</v>
      </c>
    </row>
    <row r="209" spans="1:7" hidden="1">
      <c r="A209" s="7">
        <v>46064</v>
      </c>
      <c r="B209" s="6" t="str">
        <f>IF(A209="","",LOWER(TEXT(A209,"[$-es-ES]mmmm"))&amp;" "&amp;YEAR(A209))</f>
        <v>febrero 2026</v>
      </c>
      <c r="C209" s="6" t="s">
        <v>11</v>
      </c>
      <c r="D209" s="6" t="s">
        <v>28</v>
      </c>
      <c r="F209" s="6" t="s">
        <v>10</v>
      </c>
      <c r="G209" s="8">
        <v>-11.06</v>
      </c>
    </row>
    <row r="210" spans="1:7" hidden="1">
      <c r="A210" s="7">
        <v>46065</v>
      </c>
      <c r="B210" s="6" t="str">
        <f>IF(A210="","",LOWER(TEXT(A210,"[$-es-ES]mmmm"))&amp;" "&amp;YEAR(A210))</f>
        <v>febrero 2026</v>
      </c>
      <c r="C210" s="6" t="s">
        <v>18</v>
      </c>
      <c r="D210" s="6" t="s">
        <v>21</v>
      </c>
      <c r="E210" s="6" t="s">
        <v>48</v>
      </c>
      <c r="F210" s="6" t="s">
        <v>10</v>
      </c>
      <c r="G210" s="8">
        <v>-38</v>
      </c>
    </row>
    <row r="211" spans="1:7" hidden="1">
      <c r="A211" s="7">
        <v>46066</v>
      </c>
      <c r="B211" s="6" t="str">
        <f>IF(A211="","",LOWER(TEXT(A211,"[$-es-ES]mmmm"))&amp;" "&amp;YEAR(A211))</f>
        <v>febrero 2026</v>
      </c>
      <c r="C211" s="6" t="s">
        <v>18</v>
      </c>
      <c r="D211" s="6" t="s">
        <v>25</v>
      </c>
      <c r="F211" s="6" t="s">
        <v>10</v>
      </c>
      <c r="G211" s="8">
        <v>-7.62</v>
      </c>
    </row>
    <row r="212" spans="1:7" hidden="1">
      <c r="A212" s="7">
        <v>46066</v>
      </c>
      <c r="B212" s="6" t="str">
        <f>IF(A212="","",LOWER(TEXT(A212,"[$-es-ES]mmmm"))&amp;" "&amp;YEAR(A212))</f>
        <v>febrero 2026</v>
      </c>
      <c r="C212" s="6" t="s">
        <v>18</v>
      </c>
      <c r="D212" s="6" t="s">
        <v>66</v>
      </c>
      <c r="F212" s="6" t="s">
        <v>10</v>
      </c>
      <c r="G212" s="8">
        <v>-1.5</v>
      </c>
    </row>
    <row r="213" spans="1:7" hidden="1">
      <c r="A213" s="7">
        <v>46066</v>
      </c>
      <c r="B213" s="6" t="str">
        <f>IF(A213="","",LOWER(TEXT(A213,"[$-es-ES]mmmm"))&amp;" "&amp;YEAR(A213))</f>
        <v>febrero 2026</v>
      </c>
      <c r="C213" s="6" t="s">
        <v>18</v>
      </c>
      <c r="D213" s="6" t="s">
        <v>81</v>
      </c>
      <c r="F213" s="6" t="s">
        <v>10</v>
      </c>
      <c r="G213" s="8">
        <v>-11</v>
      </c>
    </row>
    <row r="214" spans="1:7" hidden="1">
      <c r="A214" s="7">
        <v>46066</v>
      </c>
      <c r="B214" s="6" t="str">
        <f>IF(A214="","",LOWER(TEXT(A214,"[$-es-ES]mmmm"))&amp;" "&amp;YEAR(A214))</f>
        <v>febrero 2026</v>
      </c>
      <c r="C214" s="6" t="s">
        <v>18</v>
      </c>
      <c r="D214" s="6" t="s">
        <v>25</v>
      </c>
      <c r="F214" s="6" t="s">
        <v>10</v>
      </c>
      <c r="G214" s="8">
        <v>-1.65</v>
      </c>
    </row>
    <row r="215" spans="1:7" hidden="1">
      <c r="A215" s="7">
        <v>46066</v>
      </c>
      <c r="B215" s="6" t="str">
        <f>IF(A215="","",LOWER(TEXT(A215,"[$-es-ES]mmmm"))&amp;" "&amp;YEAR(A215))</f>
        <v>febrero 2026</v>
      </c>
      <c r="C215" s="6" t="s">
        <v>18</v>
      </c>
      <c r="D215" s="6" t="s">
        <v>53</v>
      </c>
      <c r="F215" s="6" t="s">
        <v>45</v>
      </c>
      <c r="G215" s="8">
        <v>-16.5</v>
      </c>
    </row>
    <row r="216" spans="1:7" hidden="1">
      <c r="A216" s="7">
        <v>46067</v>
      </c>
      <c r="B216" s="6" t="str">
        <f>IF(A216="","",LOWER(TEXT(A216,"[$-es-ES]mmmm"))&amp;" "&amp;YEAR(A216))</f>
        <v>febrero 2026</v>
      </c>
      <c r="C216" s="6" t="s">
        <v>18</v>
      </c>
      <c r="D216" s="6" t="s">
        <v>66</v>
      </c>
      <c r="F216" s="6" t="s">
        <v>10</v>
      </c>
      <c r="G216" s="8">
        <v>-7.3</v>
      </c>
    </row>
    <row r="217" spans="1:7" hidden="1">
      <c r="A217" s="7">
        <v>46067</v>
      </c>
      <c r="B217" s="6" t="str">
        <f>IF(A217="","",LOWER(TEXT(A217,"[$-es-ES]mmmm"))&amp;" "&amp;YEAR(A217))</f>
        <v>febrero 2026</v>
      </c>
      <c r="C217" s="6" t="s">
        <v>18</v>
      </c>
      <c r="D217" s="6" t="s">
        <v>53</v>
      </c>
      <c r="F217" s="6" t="s">
        <v>45</v>
      </c>
      <c r="G217" s="8">
        <v>-8.5</v>
      </c>
    </row>
    <row r="218" spans="1:7" hidden="1">
      <c r="A218" s="7">
        <v>46067</v>
      </c>
      <c r="B218" s="6" t="str">
        <f>IF(A218="","",LOWER(TEXT(A218,"[$-es-ES]mmmm"))&amp;" "&amp;YEAR(A218))</f>
        <v>febrero 2026</v>
      </c>
      <c r="C218" s="6" t="s">
        <v>18</v>
      </c>
      <c r="D218" s="6" t="s">
        <v>33</v>
      </c>
      <c r="F218" s="6" t="s">
        <v>45</v>
      </c>
      <c r="G218" s="8">
        <v>-46.72</v>
      </c>
    </row>
    <row r="219" spans="1:7" hidden="1">
      <c r="A219" s="7">
        <v>46067</v>
      </c>
      <c r="B219" s="6" t="str">
        <f>IF(A219="","",LOWER(TEXT(A219,"[$-es-ES]mmmm"))&amp;" "&amp;YEAR(A219))</f>
        <v>febrero 2026</v>
      </c>
      <c r="C219" s="6" t="s">
        <v>18</v>
      </c>
      <c r="D219" s="6" t="s">
        <v>33</v>
      </c>
      <c r="F219" s="6" t="s">
        <v>45</v>
      </c>
      <c r="G219" s="8">
        <v>-7</v>
      </c>
    </row>
    <row r="220" spans="1:7" hidden="1">
      <c r="A220" s="7">
        <v>46069</v>
      </c>
      <c r="B220" s="6" t="str">
        <f>IF(A220="","",LOWER(TEXT(A220,"[$-es-ES]mmmm"))&amp;" "&amp;YEAR(A220))</f>
        <v>febrero 2026</v>
      </c>
      <c r="C220" s="6" t="s">
        <v>11</v>
      </c>
      <c r="D220" s="6" t="s">
        <v>29</v>
      </c>
      <c r="E220" s="6" t="s">
        <v>47</v>
      </c>
      <c r="F220" s="6" t="s">
        <v>10</v>
      </c>
      <c r="G220" s="8">
        <v>-33.979999999999997</v>
      </c>
    </row>
    <row r="221" spans="1:7" hidden="1">
      <c r="A221" s="7">
        <v>46069</v>
      </c>
      <c r="B221" s="6" t="str">
        <f>IF(A221="","",LOWER(TEXT(A221,"[$-es-ES]mmmm"))&amp;" "&amp;YEAR(A221))</f>
        <v>febrero 2026</v>
      </c>
      <c r="C221" s="6" t="s">
        <v>18</v>
      </c>
      <c r="D221" s="6" t="s">
        <v>25</v>
      </c>
      <c r="F221" s="6" t="s">
        <v>10</v>
      </c>
      <c r="G221" s="8">
        <v>-1.1000000000000001</v>
      </c>
    </row>
    <row r="222" spans="1:7" hidden="1">
      <c r="A222" s="7">
        <v>46070</v>
      </c>
      <c r="B222" s="6" t="str">
        <f>IF(A222="","",LOWER(TEXT(A222,"[$-es-ES]mmmm"))&amp;" "&amp;YEAR(A222))</f>
        <v>febrero 2026</v>
      </c>
      <c r="C222" s="6" t="s">
        <v>18</v>
      </c>
      <c r="D222" s="6" t="s">
        <v>33</v>
      </c>
      <c r="F222" s="6" t="s">
        <v>10</v>
      </c>
      <c r="G222" s="8">
        <v>-11.94</v>
      </c>
    </row>
    <row r="223" spans="1:7" hidden="1">
      <c r="A223" s="7">
        <v>46071</v>
      </c>
      <c r="B223" s="6" t="str">
        <f>IF(A223="","",LOWER(TEXT(A223,"[$-es-ES]mmmm"))&amp;" "&amp;YEAR(A223))</f>
        <v>febrero 2026</v>
      </c>
      <c r="C223" s="6" t="s">
        <v>18</v>
      </c>
      <c r="D223" s="6" t="s">
        <v>53</v>
      </c>
      <c r="E223" s="6" t="s">
        <v>82</v>
      </c>
      <c r="F223" s="6" t="s">
        <v>10</v>
      </c>
      <c r="G223" s="8">
        <v>-34.99</v>
      </c>
    </row>
    <row r="224" spans="1:7" hidden="1">
      <c r="A224" s="7">
        <v>46072</v>
      </c>
      <c r="B224" s="6" t="str">
        <f>IF(A224="","",LOWER(TEXT(A224,"[$-es-ES]mmmm"))&amp;" "&amp;YEAR(A224))</f>
        <v>febrero 2026</v>
      </c>
      <c r="C224" s="6" t="s">
        <v>11</v>
      </c>
      <c r="D224" s="6" t="s">
        <v>16</v>
      </c>
      <c r="E224" s="6" t="s">
        <v>55</v>
      </c>
      <c r="F224" s="6" t="s">
        <v>10</v>
      </c>
      <c r="G224" s="8">
        <v>-23</v>
      </c>
    </row>
    <row r="225" spans="1:7" hidden="1">
      <c r="A225" s="7">
        <v>46073</v>
      </c>
      <c r="B225" s="6" t="str">
        <f>IF(A225="","",LOWER(TEXT(A225,"[$-es-ES]mmmm"))&amp;" "&amp;YEAR(A225))</f>
        <v>febrero 2026</v>
      </c>
      <c r="C225" s="6" t="s">
        <v>18</v>
      </c>
      <c r="D225" s="6" t="s">
        <v>21</v>
      </c>
      <c r="E225" s="6" t="s">
        <v>48</v>
      </c>
      <c r="F225" s="6" t="s">
        <v>10</v>
      </c>
      <c r="G225" s="8">
        <v>-10.5</v>
      </c>
    </row>
    <row r="226" spans="1:7" hidden="1">
      <c r="A226" s="7">
        <v>46073</v>
      </c>
      <c r="B226" s="6" t="str">
        <f>IF(A226="","",LOWER(TEXT(A226,"[$-es-ES]mmmm"))&amp;" "&amp;YEAR(A226))</f>
        <v>febrero 2026</v>
      </c>
      <c r="C226" s="6" t="s">
        <v>18</v>
      </c>
      <c r="D226" s="6" t="s">
        <v>33</v>
      </c>
      <c r="F226" s="6" t="s">
        <v>45</v>
      </c>
      <c r="G226" s="8">
        <v>-15.77</v>
      </c>
    </row>
    <row r="227" spans="1:7" hidden="1">
      <c r="A227" s="7">
        <v>46075</v>
      </c>
      <c r="B227" s="6" t="str">
        <f>IF(A227="","",LOWER(TEXT(A227,"[$-es-ES]mmmm"))&amp;" "&amp;YEAR(A227))</f>
        <v>febrero 2026</v>
      </c>
      <c r="C227" s="6" t="s">
        <v>18</v>
      </c>
      <c r="D227" s="6" t="s">
        <v>25</v>
      </c>
      <c r="F227" s="6" t="s">
        <v>45</v>
      </c>
      <c r="G227" s="8">
        <v>-4.79</v>
      </c>
    </row>
    <row r="228" spans="1:7" hidden="1">
      <c r="A228" s="7">
        <v>46076</v>
      </c>
      <c r="B228" s="6" t="str">
        <f>IF(A228="","",LOWER(TEXT(A228,"[$-es-ES]mmmm"))&amp;" "&amp;YEAR(A228))</f>
        <v>febrero 2026</v>
      </c>
      <c r="C228" s="6" t="s">
        <v>11</v>
      </c>
      <c r="D228" s="6" t="s">
        <v>27</v>
      </c>
      <c r="F228" s="6" t="s">
        <v>10</v>
      </c>
      <c r="G228" s="8">
        <v>-29.99</v>
      </c>
    </row>
    <row r="229" spans="1:7" hidden="1">
      <c r="A229" s="7">
        <v>46078</v>
      </c>
      <c r="B229" s="6" t="str">
        <f>IF(A229="","",LOWER(TEXT(A229,"[$-es-ES]mmmm"))&amp;" "&amp;YEAR(A229))</f>
        <v>febrero 2026</v>
      </c>
      <c r="C229" s="6" t="s">
        <v>11</v>
      </c>
      <c r="D229" s="6" t="s">
        <v>14</v>
      </c>
      <c r="F229" s="6" t="s">
        <v>10</v>
      </c>
      <c r="G229" s="8">
        <v>-22.58</v>
      </c>
    </row>
    <row r="230" spans="1:7" hidden="1">
      <c r="A230" s="7">
        <v>46079</v>
      </c>
      <c r="B230" s="6" t="str">
        <f>IF(A230="","",LOWER(TEXT(A230,"[$-es-ES]mmmm"))&amp;" "&amp;YEAR(A230))</f>
        <v>febrero 2026</v>
      </c>
      <c r="C230" s="6" t="s">
        <v>11</v>
      </c>
      <c r="D230" s="6" t="s">
        <v>15</v>
      </c>
      <c r="F230" s="6" t="s">
        <v>10</v>
      </c>
      <c r="G230" s="8">
        <v>-5</v>
      </c>
    </row>
    <row r="231" spans="1:7" hidden="1">
      <c r="A231" s="7">
        <v>46079</v>
      </c>
      <c r="B231" s="6" t="str">
        <f>IF(A231="","",LOWER(TEXT(A231,"[$-es-ES]mmmm"))&amp;" "&amp;YEAR(A231))</f>
        <v>febrero 2026</v>
      </c>
      <c r="C231" s="6" t="s">
        <v>18</v>
      </c>
      <c r="D231" s="6" t="s">
        <v>25</v>
      </c>
      <c r="F231" s="6" t="s">
        <v>10</v>
      </c>
      <c r="G231" s="8">
        <v>-3.58</v>
      </c>
    </row>
    <row r="232" spans="1:7" hidden="1">
      <c r="A232" s="7">
        <v>46080</v>
      </c>
      <c r="B232" s="6" t="str">
        <f>IF(A232="","",LOWER(TEXT(A232,"[$-es-ES]mmmm"))&amp;" "&amp;YEAR(A232))</f>
        <v>febrero 2026</v>
      </c>
      <c r="C232" s="6" t="s">
        <v>11</v>
      </c>
      <c r="D232" s="6" t="s">
        <v>28</v>
      </c>
      <c r="F232" s="6" t="s">
        <v>10</v>
      </c>
      <c r="G232" s="8">
        <v>-65.430000000000007</v>
      </c>
    </row>
    <row r="233" spans="1:7" hidden="1">
      <c r="A233" s="7">
        <v>46081</v>
      </c>
      <c r="B233" s="6" t="str">
        <f>IF(A233="","",LOWER(TEXT(A233,"[$-es-ES]mmmm"))&amp;" "&amp;YEAR(A233))</f>
        <v>febrero 2026</v>
      </c>
      <c r="C233" s="6" t="s">
        <v>18</v>
      </c>
      <c r="D233" s="6" t="s">
        <v>26</v>
      </c>
      <c r="F233" s="6" t="s">
        <v>10</v>
      </c>
      <c r="G233" s="8">
        <v>-45</v>
      </c>
    </row>
    <row r="234" spans="1:7" hidden="1">
      <c r="A234" s="7">
        <v>46081</v>
      </c>
      <c r="B234" s="6" t="str">
        <f>IF(A234="","",LOWER(TEXT(A234,"[$-es-ES]mmmm"))&amp;" "&amp;YEAR(A234))</f>
        <v>febrero 2026</v>
      </c>
      <c r="C234" s="6" t="s">
        <v>39</v>
      </c>
      <c r="D234" s="6" t="s">
        <v>40</v>
      </c>
      <c r="F234" s="6" t="s">
        <v>10</v>
      </c>
      <c r="G234" s="8">
        <v>-831.44</v>
      </c>
    </row>
    <row r="235" spans="1:7">
      <c r="A235" s="7">
        <v>46082</v>
      </c>
      <c r="B235" s="6" t="str">
        <f>IF(A235="","",LOWER(TEXT(A235,"[$-es-ES]mmmm"))&amp;" "&amp;YEAR(A235))</f>
        <v>marzo 2026</v>
      </c>
      <c r="C235" s="6" t="s">
        <v>7</v>
      </c>
      <c r="D235" s="6" t="s">
        <v>59</v>
      </c>
      <c r="F235" s="6" t="s">
        <v>10</v>
      </c>
      <c r="G235" s="8">
        <v>2093.9</v>
      </c>
    </row>
    <row r="236" spans="1:7">
      <c r="A236" s="7">
        <v>46082</v>
      </c>
      <c r="B236" s="6" t="str">
        <f>IF(A236="","",LOWER(TEXT(A236,"[$-es-ES]mmmm"))&amp;" "&amp;YEAR(A236))</f>
        <v>marzo 2026</v>
      </c>
      <c r="C236" s="6" t="s">
        <v>11</v>
      </c>
      <c r="D236" s="6" t="s">
        <v>12</v>
      </c>
      <c r="F236" s="6" t="s">
        <v>10</v>
      </c>
      <c r="G236" s="8">
        <v>-690.52</v>
      </c>
    </row>
    <row r="237" spans="1:7">
      <c r="A237" s="7">
        <v>46082</v>
      </c>
      <c r="B237" s="6" t="str">
        <f>IF(A237="","",LOWER(TEXT(A237,"[$-es-ES]mmmm"))&amp;" "&amp;YEAR(A237))</f>
        <v>marzo 2026</v>
      </c>
      <c r="C237" s="6" t="s">
        <v>7</v>
      </c>
      <c r="D237" s="6" t="s">
        <v>42</v>
      </c>
      <c r="F237" s="6" t="s">
        <v>10</v>
      </c>
      <c r="G237" s="8">
        <v>250</v>
      </c>
    </row>
    <row r="238" spans="1:7">
      <c r="A238" s="7">
        <v>46084</v>
      </c>
      <c r="B238" s="6" t="str">
        <f>IF(A238="","",LOWER(TEXT(A238,"[$-es-ES]mmmm"))&amp;" "&amp;YEAR(A238))</f>
        <v>marzo 2026</v>
      </c>
      <c r="C238" s="6" t="s">
        <v>18</v>
      </c>
      <c r="D238" s="6" t="s">
        <v>53</v>
      </c>
      <c r="E238" s="6" t="s">
        <v>82</v>
      </c>
      <c r="F238" s="6" t="s">
        <v>10</v>
      </c>
      <c r="G238" s="8">
        <v>-33.68</v>
      </c>
    </row>
    <row r="239" spans="1:7">
      <c r="A239" s="7">
        <v>46085</v>
      </c>
      <c r="B239" s="6" t="str">
        <f>IF(A239="","",LOWER(TEXT(A239,"[$-es-ES]mmmm"))&amp;" "&amp;YEAR(A239))</f>
        <v>marzo 2026</v>
      </c>
      <c r="C239" s="6" t="s">
        <v>18</v>
      </c>
      <c r="D239" s="6" t="s">
        <v>21</v>
      </c>
      <c r="F239" s="6" t="s">
        <v>10</v>
      </c>
      <c r="G239" s="8">
        <v>-30.5</v>
      </c>
    </row>
    <row r="240" spans="1:7">
      <c r="A240" s="7">
        <v>46085</v>
      </c>
      <c r="B240" s="6" t="str">
        <f>IF(A240="","",LOWER(TEXT(A240,"[$-es-ES]mmmm"))&amp;" "&amp;YEAR(A240))</f>
        <v>marzo 2026</v>
      </c>
      <c r="C240" s="6" t="s">
        <v>11</v>
      </c>
      <c r="D240" s="6" t="s">
        <v>29</v>
      </c>
      <c r="F240" s="6" t="s">
        <v>10</v>
      </c>
      <c r="G240" s="8">
        <v>-20.11</v>
      </c>
    </row>
    <row r="241" spans="1:7">
      <c r="A241" s="7">
        <v>46085</v>
      </c>
      <c r="B241" s="6" t="str">
        <f>IF(A241="","",LOWER(TEXT(A241,"[$-es-ES]mmmm"))&amp;" "&amp;YEAR(A241))</f>
        <v>marzo 2026</v>
      </c>
      <c r="C241" s="6" t="s">
        <v>18</v>
      </c>
      <c r="D241" s="6" t="s">
        <v>25</v>
      </c>
      <c r="F241" s="6" t="s">
        <v>10</v>
      </c>
      <c r="G241" s="8">
        <v>-3.65</v>
      </c>
    </row>
    <row r="242" spans="1:7">
      <c r="A242" s="7">
        <v>46086</v>
      </c>
      <c r="B242" s="6" t="str">
        <f>IF(A242="","",LOWER(TEXT(A242,"[$-es-ES]mmmm"))&amp;" "&amp;YEAR(A242))</f>
        <v>marzo 2026</v>
      </c>
      <c r="C242" s="6" t="s">
        <v>18</v>
      </c>
      <c r="D242" s="6" t="s">
        <v>25</v>
      </c>
      <c r="F242" s="6" t="s">
        <v>10</v>
      </c>
      <c r="G242" s="8">
        <v>-4.5</v>
      </c>
    </row>
    <row r="243" spans="1:7">
      <c r="A243" s="7"/>
      <c r="B243" s="6" t="str">
        <f>IF(A243="","",LOWER(TEXT(A243,"[$-es-ES]mmmm"))&amp;" "&amp;YEAR(A243))</f>
        <v/>
      </c>
      <c r="G243" s="8"/>
    </row>
    <row r="244" spans="1:7">
      <c r="A244" s="7"/>
      <c r="B244" s="6" t="str">
        <f>IF(A244="","",LOWER(TEXT(A244,"[$-es-ES]mmmm"))&amp;" "&amp;YEAR(A244))</f>
        <v/>
      </c>
      <c r="G244" s="8"/>
    </row>
    <row r="245" spans="1:7">
      <c r="A245" s="7"/>
      <c r="B245" s="6" t="str">
        <f>IF(A245="","",LOWER(TEXT(A245,"[$-es-ES]mmmm"))&amp;" "&amp;YEAR(A245))</f>
        <v/>
      </c>
      <c r="G245" s="8"/>
    </row>
    <row r="246" spans="1:7">
      <c r="A246" s="7"/>
      <c r="B246" s="6" t="str">
        <f>IF(A246="","",LOWER(TEXT(A246,"[$-es-ES]mmmm"))&amp;" "&amp;YEAR(A246))</f>
        <v/>
      </c>
      <c r="G246" s="8"/>
    </row>
    <row r="247" spans="1:7">
      <c r="A247" s="7"/>
      <c r="B247" s="6" t="str">
        <f>IF(A247="","",LOWER(TEXT(A247,"[$-es-ES]mmmm"))&amp;" "&amp;YEAR(A247))</f>
        <v/>
      </c>
      <c r="G247" s="8"/>
    </row>
    <row r="248" spans="1:7">
      <c r="A248" s="7"/>
      <c r="B248" s="6" t="str">
        <f>IF(A248="","",LOWER(TEXT(A248,"[$-es-ES]mmmm"))&amp;" "&amp;YEAR(A248))</f>
        <v/>
      </c>
      <c r="G248" s="8"/>
    </row>
    <row r="249" spans="1:7">
      <c r="A249" s="7"/>
      <c r="B249" s="6" t="str">
        <f>IF(A249="","",LOWER(TEXT(A249,"[$-es-ES]mmmm"))&amp;" "&amp;YEAR(A249))</f>
        <v/>
      </c>
      <c r="G249" s="8"/>
    </row>
    <row r="250" spans="1:7">
      <c r="A250" s="7"/>
      <c r="B250" s="6" t="str">
        <f>IF(A250="","",LOWER(TEXT(A250,"[$-es-ES]mmmm"))&amp;" "&amp;YEAR(A250))</f>
        <v/>
      </c>
      <c r="G250" s="8"/>
    </row>
    <row r="251" spans="1:7">
      <c r="A251" s="7"/>
      <c r="B251" s="6" t="str">
        <f>IF(A251="","",LOWER(TEXT(A251,"[$-es-ES]mmmm"))&amp;" "&amp;YEAR(A251))</f>
        <v/>
      </c>
      <c r="G251" s="8"/>
    </row>
    <row r="252" spans="1:7">
      <c r="A252" s="7"/>
      <c r="B252" s="6" t="str">
        <f>IF(A252="","",LOWER(TEXT(A252,"[$-es-ES]mmmm"))&amp;" "&amp;YEAR(A252))</f>
        <v/>
      </c>
      <c r="G252" s="8"/>
    </row>
    <row r="253" spans="1:7">
      <c r="A253" s="7"/>
      <c r="B253" s="6" t="str">
        <f>IF(A253="","",LOWER(TEXT(A253,"[$-es-ES]mmmm"))&amp;" "&amp;YEAR(A253))</f>
        <v/>
      </c>
      <c r="G253" s="8"/>
    </row>
    <row r="254" spans="1:7">
      <c r="A254" s="7"/>
      <c r="B254" s="6" t="str">
        <f>IF(A254="","",LOWER(TEXT(A254,"[$-es-ES]mmmm"))&amp;" "&amp;YEAR(A254))</f>
        <v/>
      </c>
      <c r="G254" s="8"/>
    </row>
    <row r="255" spans="1:7">
      <c r="A255" s="7"/>
      <c r="B255" s="6" t="str">
        <f>IF(A255="","",LOWER(TEXT(A255,"[$-es-ES]mmmm"))&amp;" "&amp;YEAR(A255))</f>
        <v/>
      </c>
      <c r="G255" s="8"/>
    </row>
    <row r="256" spans="1:7">
      <c r="A256" s="7"/>
      <c r="B256" s="6" t="str">
        <f>IF(A256="","",LOWER(TEXT(A256,"[$-es-ES]mmmm"))&amp;" "&amp;YEAR(A256))</f>
        <v/>
      </c>
      <c r="G256" s="8"/>
    </row>
    <row r="257" spans="1:7">
      <c r="A257" s="7"/>
      <c r="B257" s="6" t="str">
        <f>IF(A257="","",LOWER(TEXT(A257,"[$-es-ES]mmmm"))&amp;" "&amp;YEAR(A257))</f>
        <v/>
      </c>
      <c r="G257" s="8"/>
    </row>
    <row r="258" spans="1:7">
      <c r="A258" s="7"/>
      <c r="B258" s="6" t="str">
        <f>IF(A258="","",LOWER(TEXT(A258,"[$-es-ES]mmmm"))&amp;" "&amp;YEAR(A258))</f>
        <v/>
      </c>
      <c r="G258" s="8"/>
    </row>
    <row r="259" spans="1:7">
      <c r="A259" s="7"/>
      <c r="B259" s="6" t="str">
        <f>IF(A259="","",LOWER(TEXT(A259,"[$-es-ES]mmmm"))&amp;" "&amp;YEAR(A259))</f>
        <v/>
      </c>
      <c r="G259" s="8"/>
    </row>
    <row r="260" spans="1:7">
      <c r="A260" s="7"/>
      <c r="B260" s="6" t="str">
        <f>IF(A260="","",LOWER(TEXT(A260,"[$-es-ES]mmmm"))&amp;" "&amp;YEAR(A260))</f>
        <v/>
      </c>
      <c r="G260" s="8"/>
    </row>
    <row r="261" spans="1:7">
      <c r="A261" s="7"/>
      <c r="B261" s="6" t="str">
        <f>IF(A261="","",LOWER(TEXT(A261,"[$-es-ES]mmmm"))&amp;" "&amp;YEAR(A261))</f>
        <v/>
      </c>
      <c r="G261" s="8"/>
    </row>
    <row r="262" spans="1:7">
      <c r="A262" s="7"/>
      <c r="B262" s="6" t="str">
        <f>IF(A262="","",LOWER(TEXT(A262,"[$-es-ES]mmmm"))&amp;" "&amp;YEAR(A262))</f>
        <v/>
      </c>
      <c r="G262" s="8"/>
    </row>
    <row r="263" spans="1:7">
      <c r="A263" s="7"/>
      <c r="B263" s="6" t="str">
        <f>IF(A263="","",LOWER(TEXT(A263,"[$-es-ES]mmmm"))&amp;" "&amp;YEAR(A263))</f>
        <v/>
      </c>
      <c r="G263" s="8"/>
    </row>
    <row r="264" spans="1:7">
      <c r="A264" s="7"/>
      <c r="B264" s="6" t="str">
        <f>IF(A264="","",LOWER(TEXT(A264,"[$-es-ES]mmmm"))&amp;" "&amp;YEAR(A264))</f>
        <v/>
      </c>
      <c r="G264" s="8"/>
    </row>
    <row r="265" spans="1:7">
      <c r="A265" s="7"/>
      <c r="B265" s="6" t="str">
        <f>IF(A265="","",LOWER(TEXT(A265,"[$-es-ES]mmmm"))&amp;" "&amp;YEAR(A265))</f>
        <v/>
      </c>
      <c r="G265" s="8"/>
    </row>
    <row r="266" spans="1:7">
      <c r="A266" s="7"/>
      <c r="B266" s="6" t="str">
        <f>IF(A266="","",LOWER(TEXT(A266,"[$-es-ES]mmmm"))&amp;" "&amp;YEAR(A266))</f>
        <v/>
      </c>
      <c r="G266" s="8"/>
    </row>
    <row r="267" spans="1:7">
      <c r="A267" s="7"/>
      <c r="B267" s="6" t="str">
        <f>IF(A267="","",LOWER(TEXT(A267,"[$-es-ES]mmmm"))&amp;" "&amp;YEAR(A267))</f>
        <v/>
      </c>
      <c r="G267" s="8"/>
    </row>
    <row r="268" spans="1:7">
      <c r="A268" s="7"/>
      <c r="B268" s="6" t="str">
        <f>IF(A268="","",LOWER(TEXT(A268,"[$-es-ES]mmmm"))&amp;" "&amp;YEAR(A268))</f>
        <v/>
      </c>
      <c r="G268" s="8"/>
    </row>
    <row r="269" spans="1:7">
      <c r="A269" s="7"/>
      <c r="B269" s="6" t="str">
        <f>IF(A269="","",LOWER(TEXT(A269,"[$-es-ES]mmmm"))&amp;" "&amp;YEAR(A269))</f>
        <v/>
      </c>
      <c r="G269" s="8"/>
    </row>
    <row r="270" spans="1:7">
      <c r="A270" s="7"/>
      <c r="B270" s="6" t="str">
        <f>IF(A270="","",LOWER(TEXT(A270,"[$-es-ES]mmmm"))&amp;" "&amp;YEAR(A270))</f>
        <v/>
      </c>
      <c r="G270" s="8"/>
    </row>
    <row r="271" spans="1:7">
      <c r="A271" s="7"/>
      <c r="B271" s="6" t="str">
        <f>IF(A271="","",LOWER(TEXT(A271,"[$-es-ES]mmmm"))&amp;" "&amp;YEAR(A271))</f>
        <v/>
      </c>
      <c r="G271" s="8"/>
    </row>
    <row r="272" spans="1:7">
      <c r="A272" s="7"/>
      <c r="B272" s="6" t="str">
        <f>IF(A272="","",LOWER(TEXT(A272,"[$-es-ES]mmmm"))&amp;" "&amp;YEAR(A272))</f>
        <v/>
      </c>
      <c r="G272" s="8"/>
    </row>
    <row r="273" spans="1:7">
      <c r="A273" s="7"/>
      <c r="B273" s="6" t="str">
        <f>IF(A273="","",LOWER(TEXT(A273,"[$-es-ES]mmmm"))&amp;" "&amp;YEAR(A273))</f>
        <v/>
      </c>
      <c r="G273" s="8"/>
    </row>
    <row r="274" spans="1:7">
      <c r="A274" s="7"/>
      <c r="B274" s="6" t="str">
        <f>IF(A274="","",LOWER(TEXT(A274,"[$-es-ES]mmmm"))&amp;" "&amp;YEAR(A274))</f>
        <v/>
      </c>
      <c r="G274" s="8"/>
    </row>
    <row r="275" spans="1:7">
      <c r="A275" s="7"/>
      <c r="B275" s="6" t="str">
        <f>IF(A275="","",LOWER(TEXT(A275,"[$-es-ES]mmmm"))&amp;" "&amp;YEAR(A275))</f>
        <v/>
      </c>
      <c r="G275" s="8"/>
    </row>
    <row r="276" spans="1:7">
      <c r="A276" s="7"/>
      <c r="B276" s="6" t="str">
        <f>IF(A276="","",LOWER(TEXT(A276,"[$-es-ES]mmmm"))&amp;" "&amp;YEAR(A276))</f>
        <v/>
      </c>
      <c r="G276" s="8"/>
    </row>
    <row r="277" spans="1:7">
      <c r="A277" s="7"/>
      <c r="B277" s="6" t="str">
        <f>IF(A277="","",LOWER(TEXT(A277,"[$-es-ES]mmmm"))&amp;" "&amp;YEAR(A277))</f>
        <v/>
      </c>
      <c r="G277" s="8"/>
    </row>
    <row r="278" spans="1:7">
      <c r="A278" s="7"/>
      <c r="B278" s="6" t="str">
        <f>IF(A278="","",LOWER(TEXT(A278,"[$-es-ES]mmmm"))&amp;" "&amp;YEAR(A278))</f>
        <v/>
      </c>
      <c r="G278" s="8"/>
    </row>
    <row r="279" spans="1:7">
      <c r="A279" s="7"/>
      <c r="B279" s="6" t="str">
        <f>IF(A279="","",LOWER(TEXT(A279,"[$-es-ES]mmmm"))&amp;" "&amp;YEAR(A279))</f>
        <v/>
      </c>
      <c r="G279" s="8"/>
    </row>
    <row r="280" spans="1:7">
      <c r="A280" s="7"/>
      <c r="B280" s="6" t="str">
        <f>IF(A280="","",LOWER(TEXT(A280,"[$-es-ES]mmmm"))&amp;" "&amp;YEAR(A280))</f>
        <v/>
      </c>
      <c r="G280" s="8"/>
    </row>
    <row r="281" spans="1:7">
      <c r="A281" s="7"/>
      <c r="B281" s="6" t="str">
        <f>IF(A281="","",LOWER(TEXT(A281,"[$-es-ES]mmmm"))&amp;" "&amp;YEAR(A281))</f>
        <v/>
      </c>
      <c r="G281" s="8"/>
    </row>
    <row r="282" spans="1:7">
      <c r="A282" s="7"/>
      <c r="B282" s="6" t="str">
        <f>IF(A282="","",LOWER(TEXT(A282,"[$-es-ES]mmmm"))&amp;" "&amp;YEAR(A282))</f>
        <v/>
      </c>
      <c r="G282" s="8"/>
    </row>
    <row r="283" spans="1:7">
      <c r="A283" s="7"/>
      <c r="B283" s="6" t="str">
        <f>IF(A283="","",LOWER(TEXT(A283,"[$-es-ES]mmmm"))&amp;" "&amp;YEAR(A283))</f>
        <v/>
      </c>
      <c r="G283" s="8"/>
    </row>
    <row r="284" spans="1:7">
      <c r="A284" s="7"/>
      <c r="B284" s="6" t="str">
        <f>IF(A284="","",LOWER(TEXT(A284,"[$-es-ES]mmmm"))&amp;" "&amp;YEAR(A284))</f>
        <v/>
      </c>
      <c r="G284" s="8"/>
    </row>
    <row r="285" spans="1:7">
      <c r="A285" s="7"/>
      <c r="B285" s="6" t="str">
        <f>IF(A285="","",LOWER(TEXT(A285,"[$-es-ES]mmmm"))&amp;" "&amp;YEAR(A285))</f>
        <v/>
      </c>
      <c r="G285" s="8"/>
    </row>
    <row r="286" spans="1:7">
      <c r="A286" s="7"/>
      <c r="B286" s="6" t="str">
        <f>IF(A286="","",LOWER(TEXT(A286,"[$-es-ES]mmmm"))&amp;" "&amp;YEAR(A286))</f>
        <v/>
      </c>
      <c r="G286" s="8"/>
    </row>
    <row r="287" spans="1:7">
      <c r="A287" s="7"/>
      <c r="B287" s="6" t="str">
        <f>IF(A287="","",LOWER(TEXT(A287,"[$-es-ES]mmmm"))&amp;" "&amp;YEAR(A287))</f>
        <v/>
      </c>
      <c r="G287" s="8"/>
    </row>
    <row r="288" spans="1:7">
      <c r="A288" s="7"/>
      <c r="B288" s="6" t="str">
        <f>IF(A288="","",LOWER(TEXT(A288,"[$-es-ES]mmmm"))&amp;" "&amp;YEAR(A288))</f>
        <v/>
      </c>
      <c r="G288" s="8"/>
    </row>
    <row r="289" spans="1:7">
      <c r="A289" s="7"/>
      <c r="B289" s="6" t="str">
        <f>IF(A289="","",LOWER(TEXT(A289,"[$-es-ES]mmmm"))&amp;" "&amp;YEAR(A289))</f>
        <v/>
      </c>
      <c r="G289" s="8"/>
    </row>
    <row r="290" spans="1:7">
      <c r="A290" s="7"/>
      <c r="B290" s="6" t="str">
        <f>IF(A290="","",LOWER(TEXT(A290,"[$-es-ES]mmmm"))&amp;" "&amp;YEAR(A290))</f>
        <v/>
      </c>
      <c r="G290" s="8"/>
    </row>
    <row r="291" spans="1:7">
      <c r="A291" s="7"/>
      <c r="B291" s="6" t="str">
        <f>IF(A291="","",LOWER(TEXT(A291,"[$-es-ES]mmmm"))&amp;" "&amp;YEAR(A291))</f>
        <v/>
      </c>
      <c r="G291" s="8"/>
    </row>
    <row r="292" spans="1:7">
      <c r="A292" s="7"/>
      <c r="B292" s="6" t="str">
        <f>IF(A292="","",LOWER(TEXT(A292,"[$-es-ES]mmmm"))&amp;" "&amp;YEAR(A292))</f>
        <v/>
      </c>
      <c r="G292" s="8"/>
    </row>
    <row r="293" spans="1:7">
      <c r="A293" s="7"/>
      <c r="B293" s="6" t="str">
        <f>IF(A293="","",LOWER(TEXT(A293,"[$-es-ES]mmmm"))&amp;" "&amp;YEAR(A293))</f>
        <v/>
      </c>
      <c r="G293" s="8"/>
    </row>
    <row r="294" spans="1:7">
      <c r="A294" s="7"/>
      <c r="B294" s="6" t="str">
        <f>IF(A294="","",LOWER(TEXT(A294,"[$-es-ES]mmmm"))&amp;" "&amp;YEAR(A294))</f>
        <v/>
      </c>
      <c r="G294" s="8"/>
    </row>
    <row r="295" spans="1:7">
      <c r="A295" s="7"/>
      <c r="B295" s="6" t="str">
        <f>IF(A295="","",LOWER(TEXT(A295,"[$-es-ES]mmmm"))&amp;" "&amp;YEAR(A295))</f>
        <v/>
      </c>
      <c r="G295" s="8"/>
    </row>
    <row r="296" spans="1:7">
      <c r="A296" s="7"/>
      <c r="B296" s="6" t="str">
        <f>IF(A296="","",LOWER(TEXT(A296,"[$-es-ES]mmmm"))&amp;" "&amp;YEAR(A296))</f>
        <v/>
      </c>
      <c r="G296" s="8"/>
    </row>
    <row r="297" spans="1:7">
      <c r="A297" s="7"/>
      <c r="B297" s="6" t="str">
        <f>IF(A297="","",LOWER(TEXT(A297,"[$-es-ES]mmmm"))&amp;" "&amp;YEAR(A297))</f>
        <v/>
      </c>
      <c r="G297" s="8"/>
    </row>
    <row r="298" spans="1:7">
      <c r="A298" s="7"/>
      <c r="B298" s="6" t="str">
        <f>IF(A298="","",LOWER(TEXT(A298,"[$-es-ES]mmmm"))&amp;" "&amp;YEAR(A298))</f>
        <v/>
      </c>
      <c r="G298" s="8"/>
    </row>
    <row r="299" spans="1:7">
      <c r="A299" s="7"/>
      <c r="B299" s="6" t="str">
        <f>IF(A299="","",LOWER(TEXT(A299,"[$-es-ES]mmmm"))&amp;" "&amp;YEAR(A299))</f>
        <v/>
      </c>
      <c r="G299" s="8"/>
    </row>
    <row r="300" spans="1:7">
      <c r="A300" s="7"/>
      <c r="B300" s="6" t="str">
        <f>IF(A300="","",LOWER(TEXT(A300,"[$-es-ES]mmmm"))&amp;" "&amp;YEAR(A300))</f>
        <v/>
      </c>
      <c r="G300" s="8"/>
    </row>
    <row r="301" spans="1:7">
      <c r="A301" s="7"/>
      <c r="B301" s="6" t="str">
        <f>IF(A301="","",LOWER(TEXT(A301,"[$-es-ES]mmmm"))&amp;" "&amp;YEAR(A301))</f>
        <v/>
      </c>
      <c r="G301" s="8"/>
    </row>
    <row r="302" spans="1:7">
      <c r="A302" s="7"/>
      <c r="B302" s="6" t="str">
        <f>IF(A302="","",LOWER(TEXT(A302,"[$-es-ES]mmmm"))&amp;" "&amp;YEAR(A302))</f>
        <v/>
      </c>
      <c r="G302" s="8"/>
    </row>
    <row r="303" spans="1:7">
      <c r="A303" s="7"/>
      <c r="B303" s="6" t="str">
        <f>IF(A303="","",LOWER(TEXT(A303,"[$-es-ES]mmmm"))&amp;" "&amp;YEAR(A303))</f>
        <v/>
      </c>
      <c r="G303" s="8"/>
    </row>
    <row r="304" spans="1:7">
      <c r="A304" s="7"/>
      <c r="B304" s="6" t="str">
        <f>IF(A304="","",LOWER(TEXT(A304,"[$-es-ES]mmmm"))&amp;" "&amp;YEAR(A304))</f>
        <v/>
      </c>
      <c r="G304" s="8"/>
    </row>
    <row r="305" spans="1:7">
      <c r="A305" s="7"/>
      <c r="B305" s="6" t="str">
        <f>IF(A305="","",LOWER(TEXT(A305,"[$-es-ES]mmmm"))&amp;" "&amp;YEAR(A305))</f>
        <v/>
      </c>
      <c r="G305" s="8"/>
    </row>
    <row r="306" spans="1:7">
      <c r="A306" s="7"/>
      <c r="B306" s="6" t="str">
        <f>IF(A306="","",LOWER(TEXT(A306,"[$-es-ES]mmmm"))&amp;" "&amp;YEAR(A306))</f>
        <v/>
      </c>
      <c r="G306" s="8"/>
    </row>
    <row r="307" spans="1:7">
      <c r="A307" s="7"/>
      <c r="B307" s="6" t="str">
        <f>IF(A307="","",LOWER(TEXT(A307,"[$-es-ES]mmmm"))&amp;" "&amp;YEAR(A307))</f>
        <v/>
      </c>
      <c r="G307" s="8"/>
    </row>
    <row r="308" spans="1:7">
      <c r="A308" s="7"/>
      <c r="B308" s="6" t="str">
        <f>IF(A308="","",LOWER(TEXT(A308,"[$-es-ES]mmmm"))&amp;" "&amp;YEAR(A308))</f>
        <v/>
      </c>
      <c r="G308" s="8"/>
    </row>
    <row r="309" spans="1:7">
      <c r="A309" s="7"/>
      <c r="B309" s="6" t="str">
        <f>IF(A309="","",LOWER(TEXT(A309,"[$-es-ES]mmmm"))&amp;" "&amp;YEAR(A309))</f>
        <v/>
      </c>
      <c r="G309" s="8"/>
    </row>
    <row r="310" spans="1:7">
      <c r="A310" s="7"/>
      <c r="B310" s="6" t="str">
        <f>IF(A310="","",LOWER(TEXT(A310,"[$-es-ES]mmmm"))&amp;" "&amp;YEAR(A310))</f>
        <v/>
      </c>
      <c r="G310" s="8"/>
    </row>
    <row r="311" spans="1:7">
      <c r="A311" s="7"/>
      <c r="B311" s="6" t="str">
        <f>IF(A311="","",LOWER(TEXT(A311,"[$-es-ES]mmmm"))&amp;" "&amp;YEAR(A311))</f>
        <v/>
      </c>
      <c r="G311" s="8"/>
    </row>
    <row r="312" spans="1:7">
      <c r="A312" s="7"/>
      <c r="B312" s="6" t="str">
        <f>IF(A312="","",LOWER(TEXT(A312,"[$-es-ES]mmmm"))&amp;" "&amp;YEAR(A312))</f>
        <v/>
      </c>
      <c r="G312" s="8"/>
    </row>
    <row r="313" spans="1:7">
      <c r="A313" s="7"/>
      <c r="B313" s="6" t="str">
        <f>IF(A313="","",LOWER(TEXT(A313,"[$-es-ES]mmmm"))&amp;" "&amp;YEAR(A313))</f>
        <v/>
      </c>
      <c r="G313" s="8"/>
    </row>
    <row r="314" spans="1:7">
      <c r="A314" s="7"/>
      <c r="B314" s="6" t="str">
        <f>IF(A314="","",LOWER(TEXT(A314,"[$-es-ES]mmmm"))&amp;" "&amp;YEAR(A314))</f>
        <v/>
      </c>
      <c r="G314" s="8"/>
    </row>
    <row r="315" spans="1:7">
      <c r="A315" s="7"/>
      <c r="B315" s="6" t="str">
        <f>IF(A315="","",LOWER(TEXT(A315,"[$-es-ES]mmmm"))&amp;" "&amp;YEAR(A315))</f>
        <v/>
      </c>
      <c r="G315" s="8"/>
    </row>
    <row r="316" spans="1:7">
      <c r="A316" s="7"/>
      <c r="B316" s="6" t="str">
        <f>IF(A316="","",LOWER(TEXT(A316,"[$-es-ES]mmmm"))&amp;" "&amp;YEAR(A316))</f>
        <v/>
      </c>
      <c r="G316" s="8"/>
    </row>
    <row r="317" spans="1:7">
      <c r="A317" s="7"/>
      <c r="B317" s="6" t="str">
        <f>IF(A317="","",LOWER(TEXT(A317,"[$-es-ES]mmmm"))&amp;" "&amp;YEAR(A317))</f>
        <v/>
      </c>
      <c r="G317" s="8"/>
    </row>
    <row r="318" spans="1:7">
      <c r="A318" s="7"/>
      <c r="B318" s="6" t="str">
        <f>IF(A318="","",LOWER(TEXT(A318,"[$-es-ES]mmmm"))&amp;" "&amp;YEAR(A318))</f>
        <v/>
      </c>
      <c r="G318" s="8"/>
    </row>
    <row r="319" spans="1:7">
      <c r="A319" s="7"/>
      <c r="B319" s="6" t="str">
        <f>IF(A319="","",LOWER(TEXT(A319,"[$-es-ES]mmmm"))&amp;" "&amp;YEAR(A319))</f>
        <v/>
      </c>
      <c r="G319" s="8"/>
    </row>
    <row r="320" spans="1:7">
      <c r="A320" s="7"/>
      <c r="B320" s="6" t="str">
        <f>IF(A320="","",LOWER(TEXT(A320,"[$-es-ES]mmmm"))&amp;" "&amp;YEAR(A320))</f>
        <v/>
      </c>
      <c r="G320" s="8"/>
    </row>
    <row r="321" spans="1:7">
      <c r="A321" s="7"/>
      <c r="B321" s="6" t="str">
        <f>IF(A321="","",LOWER(TEXT(A321,"[$-es-ES]mmmm"))&amp;" "&amp;YEAR(A321))</f>
        <v/>
      </c>
      <c r="G321" s="8"/>
    </row>
    <row r="322" spans="1:7">
      <c r="A322" s="7"/>
      <c r="B322" s="6" t="str">
        <f>IF(A322="","",LOWER(TEXT(A322,"[$-es-ES]mmmm"))&amp;" "&amp;YEAR(A322))</f>
        <v/>
      </c>
      <c r="G322" s="8"/>
    </row>
    <row r="323" spans="1:7">
      <c r="A323" s="7"/>
      <c r="B323" s="6" t="str">
        <f>IF(A323="","",LOWER(TEXT(A323,"[$-es-ES]mmmm"))&amp;" "&amp;YEAR(A323))</f>
        <v/>
      </c>
      <c r="G323" s="8"/>
    </row>
    <row r="324" spans="1:7">
      <c r="A324" s="7"/>
      <c r="B324" s="6" t="str">
        <f>IF(A324="","",LOWER(TEXT(A324,"[$-es-ES]mmmm"))&amp;" "&amp;YEAR(A324))</f>
        <v/>
      </c>
      <c r="G324" s="8"/>
    </row>
    <row r="325" spans="1:7">
      <c r="A325" s="7"/>
      <c r="B325" s="6" t="str">
        <f>IF(A325="","",LOWER(TEXT(A325,"[$-es-ES]mmmm"))&amp;" "&amp;YEAR(A325))</f>
        <v/>
      </c>
      <c r="G325" s="8"/>
    </row>
    <row r="326" spans="1:7">
      <c r="A326" s="7"/>
      <c r="B326" s="6" t="str">
        <f>IF(A326="","",LOWER(TEXT(A326,"[$-es-ES]mmmm"))&amp;" "&amp;YEAR(A326))</f>
        <v/>
      </c>
      <c r="G326" s="8"/>
    </row>
    <row r="327" spans="1:7">
      <c r="A327" s="7"/>
      <c r="B327" s="6" t="str">
        <f>IF(A327="","",LOWER(TEXT(A327,"[$-es-ES]mmmm"))&amp;" "&amp;YEAR(A327))</f>
        <v/>
      </c>
      <c r="G327" s="8"/>
    </row>
    <row r="328" spans="1:7">
      <c r="A328" s="7"/>
      <c r="B328" s="6" t="str">
        <f>IF(A328="","",LOWER(TEXT(A328,"[$-es-ES]mmmm"))&amp;" "&amp;YEAR(A328))</f>
        <v/>
      </c>
      <c r="G328" s="8"/>
    </row>
    <row r="329" spans="1:7">
      <c r="A329" s="7"/>
      <c r="B329" s="6" t="str">
        <f>IF(A329="","",LOWER(TEXT(A329,"[$-es-ES]mmmm"))&amp;" "&amp;YEAR(A329))</f>
        <v/>
      </c>
      <c r="G329" s="8"/>
    </row>
    <row r="330" spans="1:7">
      <c r="A330" s="7"/>
      <c r="B330" s="6" t="str">
        <f>IF(A330="","",LOWER(TEXT(A330,"[$-es-ES]mmmm"))&amp;" "&amp;YEAR(A330))</f>
        <v/>
      </c>
      <c r="G330" s="8"/>
    </row>
    <row r="331" spans="1:7">
      <c r="A331" s="7"/>
      <c r="B331" s="6" t="str">
        <f>IF(A331="","",LOWER(TEXT(A331,"[$-es-ES]mmmm"))&amp;" "&amp;YEAR(A331))</f>
        <v/>
      </c>
      <c r="G331" s="8"/>
    </row>
    <row r="332" spans="1:7">
      <c r="A332" s="7"/>
      <c r="B332" s="6" t="str">
        <f>IF(A332="","",LOWER(TEXT(A332,"[$-es-ES]mmmm"))&amp;" "&amp;YEAR(A332))</f>
        <v/>
      </c>
      <c r="G332" s="8"/>
    </row>
    <row r="333" spans="1:7">
      <c r="A333" s="7"/>
      <c r="B333" s="6" t="str">
        <f>IF(A333="","",LOWER(TEXT(A333,"[$-es-ES]mmmm"))&amp;" "&amp;YEAR(A333))</f>
        <v/>
      </c>
      <c r="G333" s="8"/>
    </row>
    <row r="334" spans="1:7">
      <c r="A334" s="7"/>
      <c r="B334" s="6" t="str">
        <f>IF(A334="","",LOWER(TEXT(A334,"[$-es-ES]mmmm"))&amp;" "&amp;YEAR(A334))</f>
        <v/>
      </c>
      <c r="G334" s="8"/>
    </row>
    <row r="335" spans="1:7">
      <c r="A335" s="7"/>
      <c r="B335" s="6" t="str">
        <f>IF(A335="","",LOWER(TEXT(A335,"[$-es-ES]mmmm"))&amp;" "&amp;YEAR(A335))</f>
        <v/>
      </c>
      <c r="G335" s="8"/>
    </row>
    <row r="336" spans="1:7">
      <c r="A336" s="7"/>
      <c r="B336" s="6" t="str">
        <f>IF(A336="","",LOWER(TEXT(A336,"[$-es-ES]mmmm"))&amp;" "&amp;YEAR(A336))</f>
        <v/>
      </c>
      <c r="G336" s="8"/>
    </row>
    <row r="337" spans="1:7">
      <c r="A337" s="7"/>
      <c r="B337" s="6" t="str">
        <f>IF(A337="","",LOWER(TEXT(A337,"[$-es-ES]mmmm"))&amp;" "&amp;YEAR(A337))</f>
        <v/>
      </c>
      <c r="G337" s="8"/>
    </row>
    <row r="338" spans="1:7">
      <c r="A338" s="7"/>
      <c r="B338" s="6" t="str">
        <f>IF(A338="","",LOWER(TEXT(A338,"[$-es-ES]mmmm"))&amp;" "&amp;YEAR(A338))</f>
        <v/>
      </c>
      <c r="G338" s="8"/>
    </row>
    <row r="339" spans="1:7">
      <c r="A339" s="7"/>
      <c r="B339" s="6" t="str">
        <f>IF(A339="","",LOWER(TEXT(A339,"[$-es-ES]mmmm"))&amp;" "&amp;YEAR(A339))</f>
        <v/>
      </c>
      <c r="G339" s="8"/>
    </row>
    <row r="340" spans="1:7">
      <c r="A340" s="7"/>
      <c r="B340" s="6" t="str">
        <f>IF(A340="","",LOWER(TEXT(A340,"[$-es-ES]mmmm"))&amp;" "&amp;YEAR(A340))</f>
        <v/>
      </c>
      <c r="G340" s="8"/>
    </row>
    <row r="341" spans="1:7">
      <c r="A341" s="7"/>
      <c r="B341" s="6" t="str">
        <f>IF(A341="","",LOWER(TEXT(A341,"[$-es-ES]mmmm"))&amp;" "&amp;YEAR(A341))</f>
        <v/>
      </c>
      <c r="G341" s="8"/>
    </row>
    <row r="342" spans="1:7">
      <c r="A342" s="7"/>
      <c r="B342" s="6" t="str">
        <f>IF(A342="","",LOWER(TEXT(A342,"[$-es-ES]mmmm"))&amp;" "&amp;YEAR(A342))</f>
        <v/>
      </c>
      <c r="G342" s="8"/>
    </row>
    <row r="343" spans="1:7">
      <c r="A343" s="7"/>
      <c r="B343" s="6" t="str">
        <f>IF(A343="","",LOWER(TEXT(A343,"[$-es-ES]mmmm"))&amp;" "&amp;YEAR(A343))</f>
        <v/>
      </c>
      <c r="G343" s="8"/>
    </row>
    <row r="344" spans="1:7">
      <c r="A344" s="7"/>
      <c r="B344" s="6" t="str">
        <f>IF(A344="","",LOWER(TEXT(A344,"[$-es-ES]mmmm"))&amp;" "&amp;YEAR(A344))</f>
        <v/>
      </c>
      <c r="G344" s="8"/>
    </row>
    <row r="345" spans="1:7">
      <c r="A345" s="7"/>
      <c r="B345" s="6" t="str">
        <f>IF(A345="","",LOWER(TEXT(A345,"[$-es-ES]mmmm"))&amp;" "&amp;YEAR(A345))</f>
        <v/>
      </c>
      <c r="G345" s="8"/>
    </row>
    <row r="346" spans="1:7">
      <c r="A346" s="7"/>
      <c r="B346" s="6" t="str">
        <f>IF(A346="","",LOWER(TEXT(A346,"[$-es-ES]mmmm"))&amp;" "&amp;YEAR(A346))</f>
        <v/>
      </c>
      <c r="G346" s="8"/>
    </row>
    <row r="347" spans="1:7">
      <c r="A347" s="7"/>
      <c r="B347" s="6" t="str">
        <f>IF(A347="","",LOWER(TEXT(A347,"[$-es-ES]mmmm"))&amp;" "&amp;YEAR(A347))</f>
        <v/>
      </c>
      <c r="G347" s="8"/>
    </row>
    <row r="348" spans="1:7">
      <c r="A348" s="7"/>
      <c r="B348" s="6" t="str">
        <f>IF(A348="","",LOWER(TEXT(A348,"[$-es-ES]mmmm"))&amp;" "&amp;YEAR(A348))</f>
        <v/>
      </c>
      <c r="G348" s="8"/>
    </row>
    <row r="349" spans="1:7">
      <c r="A349" s="7"/>
      <c r="B349" s="6" t="str">
        <f>IF(A349="","",LOWER(TEXT(A349,"[$-es-ES]mmmm"))&amp;" "&amp;YEAR(A349))</f>
        <v/>
      </c>
      <c r="G349" s="8"/>
    </row>
    <row r="350" spans="1:7">
      <c r="A350" s="7"/>
      <c r="B350" s="6" t="str">
        <f>IF(A350="","",LOWER(TEXT(A350,"[$-es-ES]mmmm"))&amp;" "&amp;YEAR(A350))</f>
        <v/>
      </c>
      <c r="G350" s="8"/>
    </row>
    <row r="351" spans="1:7">
      <c r="A351" s="7"/>
      <c r="B351" s="6" t="str">
        <f>IF(A351="","",LOWER(TEXT(A351,"[$-es-ES]mmmm"))&amp;" "&amp;YEAR(A351))</f>
        <v/>
      </c>
      <c r="G351" s="8"/>
    </row>
    <row r="352" spans="1:7">
      <c r="A352" s="7"/>
      <c r="B352" s="6" t="str">
        <f>IF(A352="","",LOWER(TEXT(A352,"[$-es-ES]mmmm"))&amp;" "&amp;YEAR(A352))</f>
        <v/>
      </c>
      <c r="G352" s="8"/>
    </row>
    <row r="353" spans="1:7">
      <c r="A353" s="7"/>
      <c r="B353" s="6" t="str">
        <f>IF(A353="","",LOWER(TEXT(A353,"[$-es-ES]mmmm"))&amp;" "&amp;YEAR(A353))</f>
        <v/>
      </c>
      <c r="G353" s="8"/>
    </row>
    <row r="354" spans="1:7">
      <c r="A354" s="7"/>
      <c r="B354" s="6" t="str">
        <f>IF(A354="","",LOWER(TEXT(A354,"[$-es-ES]mmmm"))&amp;" "&amp;YEAR(A354))</f>
        <v/>
      </c>
      <c r="G354" s="8"/>
    </row>
    <row r="355" spans="1:7">
      <c r="A355" s="7"/>
      <c r="B355" s="6" t="str">
        <f>IF(A355="","",LOWER(TEXT(A355,"[$-es-ES]mmmm"))&amp;" "&amp;YEAR(A355))</f>
        <v/>
      </c>
      <c r="G355" s="8"/>
    </row>
    <row r="356" spans="1:7">
      <c r="A356" s="7"/>
      <c r="B356" s="6" t="str">
        <f>IF(A356="","",LOWER(TEXT(A356,"[$-es-ES]mmmm"))&amp;" "&amp;YEAR(A356))</f>
        <v/>
      </c>
      <c r="G356" s="8"/>
    </row>
    <row r="357" spans="1:7">
      <c r="A357" s="7"/>
      <c r="B357" s="6" t="str">
        <f>IF(A357="","",LOWER(TEXT(A357,"[$-es-ES]mmmm"))&amp;" "&amp;YEAR(A357))</f>
        <v/>
      </c>
      <c r="G357" s="8"/>
    </row>
    <row r="358" spans="1:7">
      <c r="A358" s="7"/>
      <c r="B358" s="6" t="str">
        <f>IF(A358="","",LOWER(TEXT(A358,"[$-es-ES]mmmm"))&amp;" "&amp;YEAR(A358))</f>
        <v/>
      </c>
      <c r="G358" s="8"/>
    </row>
    <row r="359" spans="1:7">
      <c r="A359" s="7"/>
      <c r="B359" s="6" t="str">
        <f>IF(A359="","",LOWER(TEXT(A359,"[$-es-ES]mmmm"))&amp;" "&amp;YEAR(A359))</f>
        <v/>
      </c>
      <c r="G359" s="8"/>
    </row>
    <row r="360" spans="1:7">
      <c r="A360" s="7"/>
      <c r="B360" s="6" t="str">
        <f>IF(A360="","",LOWER(TEXT(A360,"[$-es-ES]mmmm"))&amp;" "&amp;YEAR(A360))</f>
        <v/>
      </c>
      <c r="G360" s="8"/>
    </row>
    <row r="361" spans="1:7">
      <c r="A361" s="7"/>
      <c r="B361" s="6" t="str">
        <f>IF(A361="","",LOWER(TEXT(A361,"[$-es-ES]mmmm"))&amp;" "&amp;YEAR(A361))</f>
        <v/>
      </c>
      <c r="G361" s="8"/>
    </row>
    <row r="362" spans="1:7">
      <c r="A362" s="7"/>
      <c r="B362" s="6" t="str">
        <f>IF(A362="","",LOWER(TEXT(A362,"[$-es-ES]mmmm"))&amp;" "&amp;YEAR(A362))</f>
        <v/>
      </c>
      <c r="G362" s="8"/>
    </row>
    <row r="363" spans="1:7">
      <c r="A363" s="7"/>
      <c r="B363" s="6" t="str">
        <f>IF(A363="","",LOWER(TEXT(A363,"[$-es-ES]mmmm"))&amp;" "&amp;YEAR(A363))</f>
        <v/>
      </c>
      <c r="G363" s="8"/>
    </row>
    <row r="364" spans="1:7">
      <c r="A364" s="7"/>
      <c r="B364" s="6" t="str">
        <f>IF(A364="","",LOWER(TEXT(A364,"[$-es-ES]mmmm"))&amp;" "&amp;YEAR(A364))</f>
        <v/>
      </c>
      <c r="G364" s="8"/>
    </row>
    <row r="365" spans="1:7">
      <c r="A365" s="7"/>
      <c r="B365" s="6" t="str">
        <f>IF(A365="","",LOWER(TEXT(A365,"[$-es-ES]mmmm"))&amp;" "&amp;YEAR(A365))</f>
        <v/>
      </c>
      <c r="G365" s="8"/>
    </row>
    <row r="366" spans="1:7">
      <c r="A366" s="7"/>
      <c r="B366" s="6" t="str">
        <f>IF(A366="","",LOWER(TEXT(A366,"[$-es-ES]mmmm"))&amp;" "&amp;YEAR(A366))</f>
        <v/>
      </c>
      <c r="G366" s="8"/>
    </row>
    <row r="367" spans="1:7">
      <c r="A367" s="7"/>
      <c r="B367" s="6" t="str">
        <f>IF(A367="","",LOWER(TEXT(A367,"[$-es-ES]mmmm"))&amp;" "&amp;YEAR(A367))</f>
        <v/>
      </c>
      <c r="G367" s="8"/>
    </row>
    <row r="368" spans="1:7">
      <c r="A368" s="7"/>
      <c r="B368" s="6" t="str">
        <f>IF(A368="","",LOWER(TEXT(A368,"[$-es-ES]mmmm"))&amp;" "&amp;YEAR(A368))</f>
        <v/>
      </c>
      <c r="G368" s="8"/>
    </row>
    <row r="369" spans="1:7">
      <c r="A369" s="7"/>
      <c r="B369" s="6" t="str">
        <f>IF(A369="","",LOWER(TEXT(A369,"[$-es-ES]mmmm"))&amp;" "&amp;YEAR(A369))</f>
        <v/>
      </c>
      <c r="G369" s="8"/>
    </row>
    <row r="370" spans="1:7">
      <c r="A370" s="7"/>
      <c r="B370" s="6" t="str">
        <f>IF(A370="","",LOWER(TEXT(A370,"[$-es-ES]mmmm"))&amp;" "&amp;YEAR(A370))</f>
        <v/>
      </c>
      <c r="G370" s="8"/>
    </row>
    <row r="371" spans="1:7">
      <c r="A371" s="7"/>
      <c r="B371" s="6" t="str">
        <f>IF(A371="","",LOWER(TEXT(A371,"[$-es-ES]mmmm"))&amp;" "&amp;YEAR(A371))</f>
        <v/>
      </c>
      <c r="G371" s="8"/>
    </row>
    <row r="372" spans="1:7">
      <c r="A372" s="7"/>
      <c r="B372" s="6" t="str">
        <f>IF(A372="","",LOWER(TEXT(A372,"[$-es-ES]mmmm"))&amp;" "&amp;YEAR(A372))</f>
        <v/>
      </c>
      <c r="G372" s="8"/>
    </row>
    <row r="373" spans="1:7">
      <c r="A373" s="7"/>
      <c r="B373" s="6" t="str">
        <f>IF(A373="","",LOWER(TEXT(A373,"[$-es-ES]mmmm"))&amp;" "&amp;YEAR(A373))</f>
        <v/>
      </c>
      <c r="G373" s="8"/>
    </row>
    <row r="374" spans="1:7">
      <c r="A374" s="7"/>
      <c r="B374" s="6" t="str">
        <f>IF(A374="","",LOWER(TEXT(A374,"[$-es-ES]mmmm"))&amp;" "&amp;YEAR(A374))</f>
        <v/>
      </c>
      <c r="G374" s="8"/>
    </row>
    <row r="375" spans="1:7">
      <c r="A375" s="7"/>
      <c r="B375" s="6" t="str">
        <f>IF(A375="","",LOWER(TEXT(A375,"[$-es-ES]mmmm"))&amp;" "&amp;YEAR(A375))</f>
        <v/>
      </c>
      <c r="G375" s="8"/>
    </row>
    <row r="376" spans="1:7">
      <c r="A376" s="7"/>
      <c r="B376" s="6" t="str">
        <f>IF(A376="","",LOWER(TEXT(A376,"[$-es-ES]mmmm"))&amp;" "&amp;YEAR(A376))</f>
        <v/>
      </c>
      <c r="G376" s="8"/>
    </row>
    <row r="377" spans="1:7">
      <c r="A377" s="7"/>
      <c r="B377" s="6" t="str">
        <f>IF(A377="","",LOWER(TEXT(A377,"[$-es-ES]mmmm"))&amp;" "&amp;YEAR(A377))</f>
        <v/>
      </c>
      <c r="G377" s="8"/>
    </row>
    <row r="378" spans="1:7">
      <c r="A378" s="7"/>
      <c r="B378" s="6" t="str">
        <f>IF(A378="","",LOWER(TEXT(A378,"[$-es-ES]mmmm"))&amp;" "&amp;YEAR(A378))</f>
        <v/>
      </c>
      <c r="G378" s="8"/>
    </row>
    <row r="379" spans="1:7">
      <c r="A379" s="7"/>
      <c r="B379" s="6" t="str">
        <f>IF(A379="","",LOWER(TEXT(A379,"[$-es-ES]mmmm"))&amp;" "&amp;YEAR(A379))</f>
        <v/>
      </c>
      <c r="G379" s="8"/>
    </row>
    <row r="380" spans="1:7">
      <c r="A380" s="7"/>
      <c r="B380" s="6" t="str">
        <f>IF(A380="","",LOWER(TEXT(A380,"[$-es-ES]mmmm"))&amp;" "&amp;YEAR(A380))</f>
        <v/>
      </c>
      <c r="G380" s="8"/>
    </row>
    <row r="381" spans="1:7">
      <c r="A381" s="7"/>
      <c r="B381" s="6" t="str">
        <f>IF(A381="","",LOWER(TEXT(A381,"[$-es-ES]mmmm"))&amp;" "&amp;YEAR(A381))</f>
        <v/>
      </c>
      <c r="G381" s="8"/>
    </row>
    <row r="382" spans="1:7">
      <c r="A382" s="7"/>
      <c r="B382" s="6" t="str">
        <f>IF(A382="","",LOWER(TEXT(A382,"[$-es-ES]mmmm"))&amp;" "&amp;YEAR(A382))</f>
        <v/>
      </c>
      <c r="G382" s="8"/>
    </row>
    <row r="383" spans="1:7">
      <c r="A383" s="7"/>
      <c r="B383" s="6" t="str">
        <f>IF(A383="","",LOWER(TEXT(A383,"[$-es-ES]mmmm"))&amp;" "&amp;YEAR(A383))</f>
        <v/>
      </c>
      <c r="G383" s="8"/>
    </row>
    <row r="384" spans="1:7">
      <c r="A384" s="7"/>
      <c r="B384" s="6" t="str">
        <f>IF(A384="","",LOWER(TEXT(A384,"[$-es-ES]mmmm"))&amp;" "&amp;YEAR(A384))</f>
        <v/>
      </c>
      <c r="G384" s="8"/>
    </row>
    <row r="385" spans="1:7">
      <c r="A385" s="7"/>
      <c r="B385" s="6" t="str">
        <f>IF(A385="","",LOWER(TEXT(A385,"[$-es-ES]mmmm"))&amp;" "&amp;YEAR(A385))</f>
        <v/>
      </c>
      <c r="G385" s="8"/>
    </row>
    <row r="386" spans="1:7">
      <c r="A386" s="7"/>
      <c r="B386" s="6" t="str">
        <f>IF(A386="","",LOWER(TEXT(A386,"[$-es-ES]mmmm"))&amp;" "&amp;YEAR(A386))</f>
        <v/>
      </c>
      <c r="G386" s="8"/>
    </row>
    <row r="387" spans="1:7">
      <c r="A387" s="7"/>
      <c r="B387" s="6" t="str">
        <f>IF(A387="","",LOWER(TEXT(A387,"[$-es-ES]mmmm"))&amp;" "&amp;YEAR(A387))</f>
        <v/>
      </c>
      <c r="G387" s="8"/>
    </row>
    <row r="388" spans="1:7">
      <c r="A388" s="7"/>
      <c r="B388" s="6" t="str">
        <f>IF(A388="","",LOWER(TEXT(A388,"[$-es-ES]mmmm"))&amp;" "&amp;YEAR(A388))</f>
        <v/>
      </c>
      <c r="G388" s="8"/>
    </row>
    <row r="389" spans="1:7">
      <c r="A389" s="7"/>
      <c r="B389" s="6" t="str">
        <f>IF(A389="","",LOWER(TEXT(A389,"[$-es-ES]mmmm"))&amp;" "&amp;YEAR(A389))</f>
        <v/>
      </c>
      <c r="G389" s="8"/>
    </row>
    <row r="390" spans="1:7">
      <c r="A390" s="7"/>
      <c r="B390" s="6" t="str">
        <f>IF(A390="","",LOWER(TEXT(A390,"[$-es-ES]mmmm"))&amp;" "&amp;YEAR(A390))</f>
        <v/>
      </c>
      <c r="G390" s="8"/>
    </row>
    <row r="391" spans="1:7">
      <c r="A391" s="7"/>
      <c r="B391" s="6" t="str">
        <f>IF(A391="","",LOWER(TEXT(A391,"[$-es-ES]mmmm"))&amp;" "&amp;YEAR(A391))</f>
        <v/>
      </c>
      <c r="G391" s="8"/>
    </row>
    <row r="392" spans="1:7">
      <c r="A392" s="7"/>
      <c r="B392" s="6" t="str">
        <f>IF(A392="","",LOWER(TEXT(A392,"[$-es-ES]mmmm"))&amp;" "&amp;YEAR(A392))</f>
        <v/>
      </c>
      <c r="G392" s="8"/>
    </row>
    <row r="393" spans="1:7">
      <c r="A393" s="7"/>
      <c r="B393" s="6" t="str">
        <f>IF(A393="","",LOWER(TEXT(A393,"[$-es-ES]mmmm"))&amp;" "&amp;YEAR(A393))</f>
        <v/>
      </c>
      <c r="G393" s="8"/>
    </row>
    <row r="394" spans="1:7">
      <c r="A394" s="7"/>
      <c r="B394" s="6" t="str">
        <f>IF(A394="","",LOWER(TEXT(A394,"[$-es-ES]mmmm"))&amp;" "&amp;YEAR(A394))</f>
        <v/>
      </c>
      <c r="G394" s="8"/>
    </row>
    <row r="395" spans="1:7">
      <c r="A395" s="7"/>
      <c r="B395" s="6" t="str">
        <f>IF(A395="","",LOWER(TEXT(A395,"[$-es-ES]mmmm"))&amp;" "&amp;YEAR(A395))</f>
        <v/>
      </c>
      <c r="G395" s="8"/>
    </row>
    <row r="396" spans="1:7">
      <c r="A396" s="7"/>
      <c r="B396" s="6" t="str">
        <f>IF(A396="","",LOWER(TEXT(A396,"[$-es-ES]mmmm"))&amp;" "&amp;YEAR(A396))</f>
        <v/>
      </c>
      <c r="G396" s="8"/>
    </row>
    <row r="397" spans="1:7">
      <c r="A397" s="7"/>
      <c r="B397" s="6" t="str">
        <f>IF(A397="","",LOWER(TEXT(A397,"[$-es-ES]mmmm"))&amp;" "&amp;YEAR(A397))</f>
        <v/>
      </c>
      <c r="G397" s="8"/>
    </row>
    <row r="398" spans="1:7">
      <c r="A398" s="7"/>
      <c r="B398" s="6" t="str">
        <f>IF(A398="","",LOWER(TEXT(A398,"[$-es-ES]mmmm"))&amp;" "&amp;YEAR(A398))</f>
        <v/>
      </c>
      <c r="G398" s="8"/>
    </row>
    <row r="399" spans="1:7">
      <c r="A399" s="7"/>
      <c r="B399" s="6" t="str">
        <f>IF(A399="","",LOWER(TEXT(A399,"[$-es-ES]mmmm"))&amp;" "&amp;YEAR(A399))</f>
        <v/>
      </c>
      <c r="G399" s="8"/>
    </row>
    <row r="400" spans="1:7">
      <c r="A400" s="7"/>
      <c r="B400" s="6" t="str">
        <f>IF(A400="","",LOWER(TEXT(A400,"[$-es-ES]mmmm"))&amp;" "&amp;YEAR(A400))</f>
        <v/>
      </c>
      <c r="G400" s="8"/>
    </row>
    <row r="401" spans="1:7">
      <c r="A401" s="7"/>
      <c r="B401" s="6" t="str">
        <f>IF(A401="","",LOWER(TEXT(A401,"[$-es-ES]mmmm"))&amp;" "&amp;YEAR(A401))</f>
        <v/>
      </c>
      <c r="G401" s="8"/>
    </row>
    <row r="402" spans="1:7">
      <c r="A402" s="7"/>
      <c r="B402" s="6" t="str">
        <f>IF(A402="","",LOWER(TEXT(A402,"[$-es-ES]mmmm"))&amp;" "&amp;YEAR(A402))</f>
        <v/>
      </c>
      <c r="G402" s="8"/>
    </row>
    <row r="403" spans="1:7">
      <c r="A403" s="7"/>
      <c r="B403" s="6" t="str">
        <f>IF(A403="","",LOWER(TEXT(A403,"[$-es-ES]mmmm"))&amp;" "&amp;YEAR(A403))</f>
        <v/>
      </c>
      <c r="G403" s="8"/>
    </row>
    <row r="404" spans="1:7">
      <c r="A404" s="7"/>
      <c r="B404" s="6" t="str">
        <f>IF(A404="","",LOWER(TEXT(A404,"[$-es-ES]mmmm"))&amp;" "&amp;YEAR(A404))</f>
        <v/>
      </c>
      <c r="G404" s="8"/>
    </row>
    <row r="405" spans="1:7">
      <c r="A405" s="7"/>
      <c r="B405" s="6" t="str">
        <f>IF(A405="","",LOWER(TEXT(A405,"[$-es-ES]mmmm"))&amp;" "&amp;YEAR(A405))</f>
        <v/>
      </c>
      <c r="G405" s="8"/>
    </row>
    <row r="406" spans="1:7">
      <c r="A406" s="7"/>
      <c r="B406" s="6" t="str">
        <f>IF(A406="","",LOWER(TEXT(A406,"[$-es-ES]mmmm"))&amp;" "&amp;YEAR(A406))</f>
        <v/>
      </c>
      <c r="G406" s="8"/>
    </row>
    <row r="407" spans="1:7">
      <c r="A407" s="7"/>
      <c r="B407" s="6" t="str">
        <f>IF(A407="","",LOWER(TEXT(A407,"[$-es-ES]mmmm"))&amp;" "&amp;YEAR(A407))</f>
        <v/>
      </c>
      <c r="G407" s="8"/>
    </row>
    <row r="408" spans="1:7">
      <c r="A408" s="7"/>
      <c r="B408" s="6" t="str">
        <f>IF(A408="","",LOWER(TEXT(A408,"[$-es-ES]mmmm"))&amp;" "&amp;YEAR(A408))</f>
        <v/>
      </c>
      <c r="G408" s="8"/>
    </row>
    <row r="409" spans="1:7">
      <c r="A409" s="7"/>
      <c r="B409" s="6" t="str">
        <f>IF(A409="","",LOWER(TEXT(A409,"[$-es-ES]mmmm"))&amp;" "&amp;YEAR(A409))</f>
        <v/>
      </c>
      <c r="G409" s="8"/>
    </row>
    <row r="410" spans="1:7">
      <c r="A410" s="7"/>
      <c r="B410" s="6" t="str">
        <f>IF(A410="","",LOWER(TEXT(A410,"[$-es-ES]mmmm"))&amp;" "&amp;YEAR(A410))</f>
        <v/>
      </c>
      <c r="G410" s="8"/>
    </row>
    <row r="411" spans="1:7">
      <c r="A411" s="7"/>
      <c r="B411" s="6" t="str">
        <f>IF(A411="","",LOWER(TEXT(A411,"[$-es-ES]mmmm"))&amp;" "&amp;YEAR(A411))</f>
        <v/>
      </c>
      <c r="G411" s="8"/>
    </row>
    <row r="412" spans="1:7">
      <c r="A412" s="7"/>
      <c r="B412" s="6" t="str">
        <f>IF(A412="","",LOWER(TEXT(A412,"[$-es-ES]mmmm"))&amp;" "&amp;YEAR(A412))</f>
        <v/>
      </c>
      <c r="G412" s="8"/>
    </row>
    <row r="413" spans="1:7">
      <c r="A413" s="7"/>
      <c r="B413" s="6" t="str">
        <f>IF(A413="","",LOWER(TEXT(A413,"[$-es-ES]mmmm"))&amp;" "&amp;YEAR(A413))</f>
        <v/>
      </c>
      <c r="G413" s="8"/>
    </row>
    <row r="414" spans="1:7">
      <c r="A414" s="7"/>
      <c r="B414" s="6" t="str">
        <f>IF(A414="","",LOWER(TEXT(A414,"[$-es-ES]mmmm"))&amp;" "&amp;YEAR(A414))</f>
        <v/>
      </c>
      <c r="G414" s="8"/>
    </row>
    <row r="415" spans="1:7">
      <c r="A415" s="7"/>
      <c r="B415" s="6" t="str">
        <f>IF(A415="","",LOWER(TEXT(A415,"[$-es-ES]mmmm"))&amp;" "&amp;YEAR(A415))</f>
        <v/>
      </c>
      <c r="G415" s="8"/>
    </row>
    <row r="416" spans="1:7">
      <c r="A416" s="7"/>
      <c r="B416" s="6" t="str">
        <f>IF(A416="","",LOWER(TEXT(A416,"[$-es-ES]mmmm"))&amp;" "&amp;YEAR(A416))</f>
        <v/>
      </c>
      <c r="G416" s="8"/>
    </row>
    <row r="417" spans="1:7">
      <c r="A417" s="7"/>
      <c r="B417" s="6" t="str">
        <f>IF(A417="","",LOWER(TEXT(A417,"[$-es-ES]mmmm"))&amp;" "&amp;YEAR(A417))</f>
        <v/>
      </c>
      <c r="G417" s="8"/>
    </row>
    <row r="418" spans="1:7">
      <c r="A418" s="7"/>
      <c r="B418" s="6" t="str">
        <f>IF(A418="","",LOWER(TEXT(A418,"[$-es-ES]mmmm"))&amp;" "&amp;YEAR(A418))</f>
        <v/>
      </c>
      <c r="G418" s="8"/>
    </row>
    <row r="419" spans="1:7">
      <c r="A419" s="7"/>
      <c r="B419" s="6" t="str">
        <f>IF(A419="","",LOWER(TEXT(A419,"[$-es-ES]mmmm"))&amp;" "&amp;YEAR(A419))</f>
        <v/>
      </c>
      <c r="G419" s="8"/>
    </row>
    <row r="420" spans="1:7">
      <c r="A420" s="7"/>
      <c r="B420" s="6" t="str">
        <f>IF(A420="","",LOWER(TEXT(A420,"[$-es-ES]mmmm"))&amp;" "&amp;YEAR(A420))</f>
        <v/>
      </c>
      <c r="G420" s="8"/>
    </row>
    <row r="421" spans="1:7">
      <c r="A421" s="7"/>
      <c r="B421" s="6" t="str">
        <f>IF(A421="","",LOWER(TEXT(A421,"[$-es-ES]mmmm"))&amp;" "&amp;YEAR(A421))</f>
        <v/>
      </c>
      <c r="G421" s="8"/>
    </row>
    <row r="422" spans="1:7">
      <c r="A422" s="7"/>
      <c r="B422" s="6" t="str">
        <f>IF(A422="","",LOWER(TEXT(A422,"[$-es-ES]mmmm"))&amp;" "&amp;YEAR(A422))</f>
        <v/>
      </c>
      <c r="G422" s="8"/>
    </row>
    <row r="423" spans="1:7">
      <c r="A423" s="7"/>
      <c r="B423" s="6" t="str">
        <f>IF(A423="","",LOWER(TEXT(A423,"[$-es-ES]mmmm"))&amp;" "&amp;YEAR(A423))</f>
        <v/>
      </c>
      <c r="G423" s="8"/>
    </row>
    <row r="424" spans="1:7">
      <c r="A424" s="7"/>
      <c r="B424" s="6" t="str">
        <f>IF(A424="","",LOWER(TEXT(A424,"[$-es-ES]mmmm"))&amp;" "&amp;YEAR(A424))</f>
        <v/>
      </c>
      <c r="G424" s="8"/>
    </row>
    <row r="425" spans="1:7">
      <c r="A425" s="7"/>
      <c r="B425" s="6" t="str">
        <f>IF(A425="","",LOWER(TEXT(A425,"[$-es-ES]mmmm"))&amp;" "&amp;YEAR(A425))</f>
        <v/>
      </c>
      <c r="G425" s="8"/>
    </row>
    <row r="426" spans="1:7">
      <c r="A426" s="7"/>
      <c r="B426" s="6" t="str">
        <f>IF(A426="","",LOWER(TEXT(A426,"[$-es-ES]mmmm"))&amp;" "&amp;YEAR(A426))</f>
        <v/>
      </c>
      <c r="G426" s="8"/>
    </row>
    <row r="427" spans="1:7">
      <c r="A427" s="7"/>
      <c r="B427" s="6" t="str">
        <f>IF(A427="","",LOWER(TEXT(A427,"[$-es-ES]mmmm"))&amp;" "&amp;YEAR(A427))</f>
        <v/>
      </c>
      <c r="G427" s="8"/>
    </row>
    <row r="428" spans="1:7">
      <c r="A428" s="7"/>
      <c r="B428" s="6" t="str">
        <f>IF(A428="","",LOWER(TEXT(A428,"[$-es-ES]mmmm"))&amp;" "&amp;YEAR(A428))</f>
        <v/>
      </c>
      <c r="G428" s="8"/>
    </row>
    <row r="429" spans="1:7">
      <c r="A429" s="7"/>
      <c r="B429" s="6" t="str">
        <f>IF(A429="","",LOWER(TEXT(A429,"[$-es-ES]mmmm"))&amp;" "&amp;YEAR(A429))</f>
        <v/>
      </c>
      <c r="G429" s="8"/>
    </row>
    <row r="430" spans="1:7">
      <c r="A430" s="7"/>
      <c r="B430" s="6" t="str">
        <f>IF(A430="","",LOWER(TEXT(A430,"[$-es-ES]mmmm"))&amp;" "&amp;YEAR(A430))</f>
        <v/>
      </c>
      <c r="G430" s="8"/>
    </row>
    <row r="431" spans="1:7">
      <c r="A431" s="7"/>
      <c r="B431" s="6" t="str">
        <f>IF(A431="","",LOWER(TEXT(A431,"[$-es-ES]mmmm"))&amp;" "&amp;YEAR(A431))</f>
        <v/>
      </c>
      <c r="G431" s="8"/>
    </row>
    <row r="432" spans="1:7">
      <c r="A432" s="7"/>
      <c r="B432" s="6" t="str">
        <f>IF(A432="","",LOWER(TEXT(A432,"[$-es-ES]mmmm"))&amp;" "&amp;YEAR(A432))</f>
        <v/>
      </c>
      <c r="G432" s="8"/>
    </row>
    <row r="433" spans="1:7">
      <c r="A433" s="7"/>
      <c r="B433" s="6" t="str">
        <f>IF(A433="","",LOWER(TEXT(A433,"[$-es-ES]mmmm"))&amp;" "&amp;YEAR(A433))</f>
        <v/>
      </c>
      <c r="G433" s="8"/>
    </row>
    <row r="434" spans="1:7">
      <c r="A434" s="7"/>
      <c r="B434" s="6" t="str">
        <f>IF(A434="","",LOWER(TEXT(A434,"[$-es-ES]mmmm"))&amp;" "&amp;YEAR(A434))</f>
        <v/>
      </c>
      <c r="G434" s="8"/>
    </row>
    <row r="435" spans="1:7">
      <c r="A435" s="7"/>
      <c r="B435" s="6" t="str">
        <f>IF(A435="","",LOWER(TEXT(A435,"[$-es-ES]mmmm"))&amp;" "&amp;YEAR(A435))</f>
        <v/>
      </c>
      <c r="G435" s="8"/>
    </row>
    <row r="436" spans="1:7">
      <c r="A436" s="7"/>
      <c r="B436" s="6" t="str">
        <f>IF(A436="","",LOWER(TEXT(A436,"[$-es-ES]mmmm"))&amp;" "&amp;YEAR(A436))</f>
        <v/>
      </c>
      <c r="G436" s="8"/>
    </row>
    <row r="437" spans="1:7">
      <c r="A437" s="7"/>
      <c r="B437" s="6" t="str">
        <f>IF(A437="","",LOWER(TEXT(A437,"[$-es-ES]mmmm"))&amp;" "&amp;YEAR(A437))</f>
        <v/>
      </c>
      <c r="G437" s="8"/>
    </row>
    <row r="438" spans="1:7">
      <c r="A438" s="7"/>
      <c r="B438" s="6" t="str">
        <f>IF(A438="","",LOWER(TEXT(A438,"[$-es-ES]mmmm"))&amp;" "&amp;YEAR(A438))</f>
        <v/>
      </c>
      <c r="G438" s="8"/>
    </row>
    <row r="439" spans="1:7">
      <c r="A439" s="7"/>
      <c r="B439" s="6" t="str">
        <f>IF(A439="","",LOWER(TEXT(A439,"[$-es-ES]mmmm"))&amp;" "&amp;YEAR(A439))</f>
        <v/>
      </c>
      <c r="G439" s="8"/>
    </row>
    <row r="440" spans="1:7">
      <c r="A440" s="7"/>
      <c r="B440" s="6" t="str">
        <f>IF(A440="","",LOWER(TEXT(A440,"[$-es-ES]mmmm"))&amp;" "&amp;YEAR(A440))</f>
        <v/>
      </c>
      <c r="G440" s="8"/>
    </row>
    <row r="441" spans="1:7">
      <c r="A441" s="7"/>
      <c r="B441" s="6" t="str">
        <f>IF(A441="","",LOWER(TEXT(A441,"[$-es-ES]mmmm"))&amp;" "&amp;YEAR(A441))</f>
        <v/>
      </c>
      <c r="G441" s="8"/>
    </row>
    <row r="442" spans="1:7">
      <c r="A442" s="7"/>
      <c r="B442" s="6" t="str">
        <f>IF(A442="","",LOWER(TEXT(A442,"[$-es-ES]mmmm"))&amp;" "&amp;YEAR(A442))</f>
        <v/>
      </c>
      <c r="G442" s="8"/>
    </row>
    <row r="443" spans="1:7">
      <c r="A443" s="7"/>
      <c r="B443" s="6" t="str">
        <f>IF(A443="","",LOWER(TEXT(A443,"[$-es-ES]mmmm"))&amp;" "&amp;YEAR(A443))</f>
        <v/>
      </c>
      <c r="G443" s="8"/>
    </row>
    <row r="444" spans="1:7">
      <c r="A444" s="7"/>
      <c r="B444" s="6" t="str">
        <f>IF(A444="","",LOWER(TEXT(A444,"[$-es-ES]mmmm"))&amp;" "&amp;YEAR(A444))</f>
        <v/>
      </c>
      <c r="G444" s="8"/>
    </row>
    <row r="445" spans="1:7">
      <c r="A445" s="7"/>
      <c r="B445" s="6" t="str">
        <f>IF(A445="","",LOWER(TEXT(A445,"[$-es-ES]mmmm"))&amp;" "&amp;YEAR(A445))</f>
        <v/>
      </c>
      <c r="G445" s="8"/>
    </row>
    <row r="446" spans="1:7">
      <c r="A446" s="7"/>
      <c r="B446" s="6" t="str">
        <f>IF(A446="","",LOWER(TEXT(A446,"[$-es-ES]mmmm"))&amp;" "&amp;YEAR(A446))</f>
        <v/>
      </c>
      <c r="G446" s="8"/>
    </row>
    <row r="447" spans="1:7">
      <c r="A447" s="7"/>
      <c r="B447" s="6" t="str">
        <f>IF(A447="","",LOWER(TEXT(A447,"[$-es-ES]mmmm"))&amp;" "&amp;YEAR(A447))</f>
        <v/>
      </c>
      <c r="G447" s="8"/>
    </row>
    <row r="448" spans="1:7">
      <c r="A448" s="7"/>
      <c r="B448" s="6" t="str">
        <f>IF(A448="","",LOWER(TEXT(A448,"[$-es-ES]mmmm"))&amp;" "&amp;YEAR(A448))</f>
        <v/>
      </c>
      <c r="G448" s="8"/>
    </row>
    <row r="449" spans="1:7">
      <c r="A449" s="7"/>
      <c r="B449" s="6" t="str">
        <f>IF(A449="","",LOWER(TEXT(A449,"[$-es-ES]mmmm"))&amp;" "&amp;YEAR(A449))</f>
        <v/>
      </c>
      <c r="G449" s="8"/>
    </row>
    <row r="450" spans="1:7">
      <c r="A450" s="7"/>
      <c r="B450" s="6" t="str">
        <f>IF(A450="","",LOWER(TEXT(A450,"[$-es-ES]mmmm"))&amp;" "&amp;YEAR(A450))</f>
        <v/>
      </c>
      <c r="G450" s="8"/>
    </row>
    <row r="451" spans="1:7">
      <c r="A451" s="7"/>
      <c r="B451" s="6" t="str">
        <f>IF(A451="","",LOWER(TEXT(A451,"[$-es-ES]mmmm"))&amp;" "&amp;YEAR(A451))</f>
        <v/>
      </c>
      <c r="G451" s="8"/>
    </row>
    <row r="452" spans="1:7">
      <c r="A452" s="7"/>
      <c r="B452" s="6" t="str">
        <f>IF(A452="","",LOWER(TEXT(A452,"[$-es-ES]mmmm"))&amp;" "&amp;YEAR(A452))</f>
        <v/>
      </c>
      <c r="G452" s="8"/>
    </row>
    <row r="453" spans="1:7">
      <c r="A453" s="7"/>
      <c r="B453" s="6" t="str">
        <f>IF(A453="","",LOWER(TEXT(A453,"[$-es-ES]mmmm"))&amp;" "&amp;YEAR(A453))</f>
        <v/>
      </c>
      <c r="G453" s="8"/>
    </row>
    <row r="454" spans="1:7">
      <c r="A454" s="7"/>
      <c r="B454" s="6" t="str">
        <f>IF(A454="","",LOWER(TEXT(A454,"[$-es-ES]mmmm"))&amp;" "&amp;YEAR(A454))</f>
        <v/>
      </c>
      <c r="G454" s="8"/>
    </row>
    <row r="455" spans="1:7">
      <c r="A455" s="7"/>
      <c r="B455" s="6" t="str">
        <f>IF(A455="","",LOWER(TEXT(A455,"[$-es-ES]mmmm"))&amp;" "&amp;YEAR(A455))</f>
        <v/>
      </c>
      <c r="G455" s="8"/>
    </row>
    <row r="456" spans="1:7">
      <c r="A456" s="7"/>
      <c r="B456" s="6" t="str">
        <f>IF(A456="","",LOWER(TEXT(A456,"[$-es-ES]mmmm"))&amp;" "&amp;YEAR(A456))</f>
        <v/>
      </c>
      <c r="G456" s="8"/>
    </row>
    <row r="457" spans="1:7">
      <c r="A457" s="7"/>
      <c r="B457" s="6" t="str">
        <f>IF(A457="","",LOWER(TEXT(A457,"[$-es-ES]mmmm"))&amp;" "&amp;YEAR(A457))</f>
        <v/>
      </c>
      <c r="G457" s="8"/>
    </row>
    <row r="458" spans="1:7">
      <c r="A458" s="7"/>
      <c r="B458" s="6" t="str">
        <f>IF(A458="","",LOWER(TEXT(A458,"[$-es-ES]mmmm"))&amp;" "&amp;YEAR(A458))</f>
        <v/>
      </c>
      <c r="G458" s="8"/>
    </row>
    <row r="459" spans="1:7">
      <c r="A459" s="7"/>
      <c r="B459" s="6" t="str">
        <f>IF(A459="","",LOWER(TEXT(A459,"[$-es-ES]mmmm"))&amp;" "&amp;YEAR(A459))</f>
        <v/>
      </c>
      <c r="G459" s="8"/>
    </row>
    <row r="460" spans="1:7">
      <c r="A460" s="7"/>
      <c r="B460" s="6" t="str">
        <f>IF(A460="","",LOWER(TEXT(A460,"[$-es-ES]mmmm"))&amp;" "&amp;YEAR(A460))</f>
        <v/>
      </c>
      <c r="G460" s="8"/>
    </row>
    <row r="461" spans="1:7">
      <c r="A461" s="7"/>
      <c r="B461" s="6" t="str">
        <f>IF(A461="","",LOWER(TEXT(A461,"[$-es-ES]mmmm"))&amp;" "&amp;YEAR(A461))</f>
        <v/>
      </c>
      <c r="G461" s="8"/>
    </row>
    <row r="462" spans="1:7">
      <c r="A462" s="7"/>
      <c r="B462" s="6" t="str">
        <f>IF(A462="","",LOWER(TEXT(A462,"[$-es-ES]mmmm"))&amp;" "&amp;YEAR(A462))</f>
        <v/>
      </c>
      <c r="G462" s="8"/>
    </row>
    <row r="463" spans="1:7">
      <c r="A463" s="7"/>
      <c r="B463" s="6" t="str">
        <f>IF(A463="","",LOWER(TEXT(A463,"[$-es-ES]mmmm"))&amp;" "&amp;YEAR(A463))</f>
        <v/>
      </c>
      <c r="G463" s="8"/>
    </row>
    <row r="464" spans="1:7">
      <c r="A464" s="7"/>
      <c r="B464" s="6" t="str">
        <f>IF(A464="","",LOWER(TEXT(A464,"[$-es-ES]mmmm"))&amp;" "&amp;YEAR(A464))</f>
        <v/>
      </c>
      <c r="G464" s="8"/>
    </row>
    <row r="465" spans="1:7">
      <c r="A465" s="7"/>
      <c r="B465" s="6" t="str">
        <f>IF(A465="","",LOWER(TEXT(A465,"[$-es-ES]mmmm"))&amp;" "&amp;YEAR(A465))</f>
        <v/>
      </c>
      <c r="G465" s="8"/>
    </row>
    <row r="466" spans="1:7">
      <c r="A466" s="7"/>
      <c r="B466" s="6" t="str">
        <f>IF(A466="","",LOWER(TEXT(A466,"[$-es-ES]mmmm"))&amp;" "&amp;YEAR(A466))</f>
        <v/>
      </c>
      <c r="G466" s="8"/>
    </row>
    <row r="467" spans="1:7">
      <c r="A467" s="7"/>
      <c r="B467" s="6" t="str">
        <f>IF(A467="","",LOWER(TEXT(A467,"[$-es-ES]mmmm"))&amp;" "&amp;YEAR(A467))</f>
        <v/>
      </c>
      <c r="G467" s="8"/>
    </row>
    <row r="468" spans="1:7">
      <c r="A468" s="7"/>
      <c r="B468" s="6" t="str">
        <f>IF(A468="","",LOWER(TEXT(A468,"[$-es-ES]mmmm"))&amp;" "&amp;YEAR(A468))</f>
        <v/>
      </c>
      <c r="G468" s="8"/>
    </row>
    <row r="469" spans="1:7">
      <c r="A469" s="7"/>
      <c r="B469" s="6" t="str">
        <f>IF(A469="","",LOWER(TEXT(A469,"[$-es-ES]mmmm"))&amp;" "&amp;YEAR(A469))</f>
        <v/>
      </c>
      <c r="G469" s="8"/>
    </row>
    <row r="470" spans="1:7">
      <c r="A470" s="7"/>
      <c r="B470" s="6" t="str">
        <f>IF(A470="","",LOWER(TEXT(A470,"[$-es-ES]mmmm"))&amp;" "&amp;YEAR(A470))</f>
        <v/>
      </c>
      <c r="G470" s="8"/>
    </row>
    <row r="471" spans="1:7">
      <c r="A471" s="7"/>
      <c r="B471" s="6" t="str">
        <f>IF(A471="","",LOWER(TEXT(A471,"[$-es-ES]mmmm"))&amp;" "&amp;YEAR(A471))</f>
        <v/>
      </c>
      <c r="G471" s="8"/>
    </row>
    <row r="472" spans="1:7">
      <c r="A472" s="7"/>
      <c r="B472" s="6" t="str">
        <f>IF(A472="","",LOWER(TEXT(A472,"[$-es-ES]mmmm"))&amp;" "&amp;YEAR(A472))</f>
        <v/>
      </c>
      <c r="G472" s="8"/>
    </row>
    <row r="473" spans="1:7">
      <c r="A473" s="7"/>
      <c r="B473" s="6" t="str">
        <f>IF(A473="","",LOWER(TEXT(A473,"[$-es-ES]mmmm"))&amp;" "&amp;YEAR(A473))</f>
        <v/>
      </c>
      <c r="G473" s="8"/>
    </row>
    <row r="474" spans="1:7">
      <c r="A474" s="7"/>
      <c r="B474" s="6" t="str">
        <f>IF(A474="","",LOWER(TEXT(A474,"[$-es-ES]mmmm"))&amp;" "&amp;YEAR(A474))</f>
        <v/>
      </c>
      <c r="G474" s="8"/>
    </row>
    <row r="475" spans="1:7">
      <c r="A475" s="7"/>
      <c r="B475" s="6" t="str">
        <f>IF(A475="","",LOWER(TEXT(A475,"[$-es-ES]mmmm"))&amp;" "&amp;YEAR(A475))</f>
        <v/>
      </c>
      <c r="G475" s="8"/>
    </row>
    <row r="476" spans="1:7">
      <c r="A476" s="7"/>
      <c r="B476" s="6" t="str">
        <f>IF(A476="","",LOWER(TEXT(A476,"[$-es-ES]mmmm"))&amp;" "&amp;YEAR(A476))</f>
        <v/>
      </c>
      <c r="G476" s="8"/>
    </row>
    <row r="477" spans="1:7">
      <c r="A477" s="7"/>
      <c r="B477" s="6" t="str">
        <f>IF(A477="","",LOWER(TEXT(A477,"[$-es-ES]mmmm"))&amp;" "&amp;YEAR(A477))</f>
        <v/>
      </c>
      <c r="G477" s="8"/>
    </row>
    <row r="478" spans="1:7">
      <c r="A478" s="7"/>
      <c r="B478" s="6" t="str">
        <f>IF(A478="","",LOWER(TEXT(A478,"[$-es-ES]mmmm"))&amp;" "&amp;YEAR(A478))</f>
        <v/>
      </c>
      <c r="G478" s="8"/>
    </row>
    <row r="479" spans="1:7">
      <c r="A479" s="7"/>
      <c r="B479" s="6" t="str">
        <f>IF(A479="","",LOWER(TEXT(A479,"[$-es-ES]mmmm"))&amp;" "&amp;YEAR(A479))</f>
        <v/>
      </c>
      <c r="G479" s="8"/>
    </row>
    <row r="480" spans="1:7">
      <c r="A480" s="7"/>
      <c r="B480" s="6" t="str">
        <f>IF(A480="","",LOWER(TEXT(A480,"[$-es-ES]mmmm"))&amp;" "&amp;YEAR(A480))</f>
        <v/>
      </c>
      <c r="G480" s="8"/>
    </row>
    <row r="481" spans="1:7">
      <c r="A481" s="7"/>
      <c r="B481" s="6" t="str">
        <f>IF(A481="","",LOWER(TEXT(A481,"[$-es-ES]mmmm"))&amp;" "&amp;YEAR(A481))</f>
        <v/>
      </c>
      <c r="G481" s="8"/>
    </row>
    <row r="482" spans="1:7">
      <c r="A482" s="7"/>
      <c r="B482" s="6" t="str">
        <f>IF(A482="","",LOWER(TEXT(A482,"[$-es-ES]mmmm"))&amp;" "&amp;YEAR(A482))</f>
        <v/>
      </c>
      <c r="G482" s="8"/>
    </row>
    <row r="483" spans="1:7">
      <c r="A483" s="7"/>
      <c r="B483" s="6" t="str">
        <f>IF(A483="","",LOWER(TEXT(A483,"[$-es-ES]mmmm"))&amp;" "&amp;YEAR(A483))</f>
        <v/>
      </c>
      <c r="G483" s="8"/>
    </row>
    <row r="484" spans="1:7">
      <c r="A484" s="7"/>
      <c r="B484" s="6" t="str">
        <f>IF(A484="","",LOWER(TEXT(A484,"[$-es-ES]mmmm"))&amp;" "&amp;YEAR(A484))</f>
        <v/>
      </c>
      <c r="G484" s="8"/>
    </row>
    <row r="485" spans="1:7">
      <c r="A485" s="7"/>
      <c r="B485" s="6" t="str">
        <f>IF(A485="","",LOWER(TEXT(A485,"[$-es-ES]mmmm"))&amp;" "&amp;YEAR(A485))</f>
        <v/>
      </c>
      <c r="G485" s="8"/>
    </row>
    <row r="486" spans="1:7">
      <c r="A486" s="7"/>
      <c r="B486" s="6" t="str">
        <f>IF(A486="","",LOWER(TEXT(A486,"[$-es-ES]mmmm"))&amp;" "&amp;YEAR(A486))</f>
        <v/>
      </c>
      <c r="G486" s="8"/>
    </row>
    <row r="487" spans="1:7">
      <c r="A487" s="7"/>
      <c r="B487" s="6" t="str">
        <f>IF(A487="","",LOWER(TEXT(A487,"[$-es-ES]mmmm"))&amp;" "&amp;YEAR(A487))</f>
        <v/>
      </c>
      <c r="G487" s="8"/>
    </row>
    <row r="488" spans="1:7">
      <c r="A488" s="7"/>
      <c r="B488" s="6" t="str">
        <f>IF(A488="","",LOWER(TEXT(A488,"[$-es-ES]mmmm"))&amp;" "&amp;YEAR(A488))</f>
        <v/>
      </c>
      <c r="G488" s="8"/>
    </row>
    <row r="489" spans="1:7">
      <c r="A489" s="7"/>
      <c r="B489" s="6" t="str">
        <f>IF(A489="","",LOWER(TEXT(A489,"[$-es-ES]mmmm"))&amp;" "&amp;YEAR(A489))</f>
        <v/>
      </c>
      <c r="G489" s="8"/>
    </row>
    <row r="490" spans="1:7">
      <c r="A490" s="7"/>
      <c r="B490" s="6" t="str">
        <f>IF(A490="","",LOWER(TEXT(A490,"[$-es-ES]mmmm"))&amp;" "&amp;YEAR(A490))</f>
        <v/>
      </c>
      <c r="G490" s="8"/>
    </row>
    <row r="491" spans="1:7">
      <c r="A491" s="7"/>
      <c r="B491" s="6" t="str">
        <f>IF(A491="","",LOWER(TEXT(A491,"[$-es-ES]mmmm"))&amp;" "&amp;YEAR(A491))</f>
        <v/>
      </c>
      <c r="G491" s="8"/>
    </row>
    <row r="492" spans="1:7">
      <c r="A492" s="7"/>
      <c r="B492" s="6" t="str">
        <f>IF(A492="","",LOWER(TEXT(A492,"[$-es-ES]mmmm"))&amp;" "&amp;YEAR(A492))</f>
        <v/>
      </c>
      <c r="G492" s="8"/>
    </row>
    <row r="493" spans="1:7">
      <c r="A493" s="7"/>
      <c r="B493" s="6" t="str">
        <f>IF(A493="","",LOWER(TEXT(A493,"[$-es-ES]mmmm"))&amp;" "&amp;YEAR(A493))</f>
        <v/>
      </c>
      <c r="G493" s="8"/>
    </row>
    <row r="494" spans="1:7">
      <c r="A494" s="7"/>
      <c r="B494" s="6" t="str">
        <f>IF(A494="","",LOWER(TEXT(A494,"[$-es-ES]mmmm"))&amp;" "&amp;YEAR(A494))</f>
        <v/>
      </c>
      <c r="G494" s="8"/>
    </row>
    <row r="495" spans="1:7">
      <c r="A495" s="7"/>
      <c r="B495" s="6" t="str">
        <f>IF(A495="","",LOWER(TEXT(A495,"[$-es-ES]mmmm"))&amp;" "&amp;YEAR(A495))</f>
        <v/>
      </c>
      <c r="G495" s="8"/>
    </row>
    <row r="496" spans="1:7">
      <c r="A496" s="7"/>
      <c r="B496" s="6" t="str">
        <f>IF(A496="","",LOWER(TEXT(A496,"[$-es-ES]mmmm"))&amp;" "&amp;YEAR(A496))</f>
        <v/>
      </c>
      <c r="G496" s="8"/>
    </row>
    <row r="497" spans="1:7">
      <c r="A497" s="7"/>
      <c r="B497" s="6" t="str">
        <f>IF(A497="","",LOWER(TEXT(A497,"[$-es-ES]mmmm"))&amp;" "&amp;YEAR(A497))</f>
        <v/>
      </c>
      <c r="G497" s="8"/>
    </row>
    <row r="498" spans="1:7">
      <c r="A498" s="7"/>
      <c r="B498" s="6" t="str">
        <f>IF(A498="","",LOWER(TEXT(A498,"[$-es-ES]mmmm"))&amp;" "&amp;YEAR(A498))</f>
        <v/>
      </c>
      <c r="G498" s="8"/>
    </row>
    <row r="499" spans="1:7">
      <c r="A499" s="7"/>
      <c r="B499" s="6" t="str">
        <f>IF(A499="","",LOWER(TEXT(A499,"[$-es-ES]mmmm"))&amp;" "&amp;YEAR(A499))</f>
        <v/>
      </c>
      <c r="G499" s="8"/>
    </row>
    <row r="500" spans="1:7">
      <c r="A500" s="7"/>
      <c r="B500" s="6" t="str">
        <f>IF(A500="","",LOWER(TEXT(A500,"[$-es-ES]mmmm"))&amp;" "&amp;YEAR(A500))</f>
        <v/>
      </c>
      <c r="G500" s="8"/>
    </row>
    <row r="501" spans="1:7">
      <c r="A501" s="7"/>
      <c r="B501" s="6" t="str">
        <f>IF(A501="","",LOWER(TEXT(A501,"[$-es-ES]mmmm"))&amp;" "&amp;YEAR(A501))</f>
        <v/>
      </c>
      <c r="G501" s="8"/>
    </row>
    <row r="502" spans="1:7">
      <c r="A502" s="7"/>
      <c r="B502" s="6" t="str">
        <f>IF(A502="","",LOWER(TEXT(A502,"[$-es-ES]mmmm"))&amp;" "&amp;YEAR(A502))</f>
        <v/>
      </c>
      <c r="G502" s="8"/>
    </row>
    <row r="503" spans="1:7">
      <c r="A503" s="7"/>
      <c r="B503" s="6" t="str">
        <f>IF(A503="","",LOWER(TEXT(A503,"[$-es-ES]mmmm"))&amp;" "&amp;YEAR(A503))</f>
        <v/>
      </c>
      <c r="G503" s="8"/>
    </row>
    <row r="504" spans="1:7">
      <c r="A504" s="7"/>
      <c r="B504" s="6" t="str">
        <f>IF(A504="","",LOWER(TEXT(A504,"[$-es-ES]mmmm"))&amp;" "&amp;YEAR(A504))</f>
        <v/>
      </c>
      <c r="G504" s="8"/>
    </row>
    <row r="505" spans="1:7">
      <c r="A505" s="7"/>
      <c r="B505" s="6" t="str">
        <f>IF(A505="","",LOWER(TEXT(A505,"[$-es-ES]mmmm"))&amp;" "&amp;YEAR(A505))</f>
        <v/>
      </c>
      <c r="G505" s="8"/>
    </row>
    <row r="506" spans="1:7">
      <c r="A506" s="7"/>
      <c r="B506" s="6" t="str">
        <f>IF(A506="","",LOWER(TEXT(A506,"[$-es-ES]mmmm"))&amp;" "&amp;YEAR(A506))</f>
        <v/>
      </c>
      <c r="G506" s="8"/>
    </row>
    <row r="507" spans="1:7">
      <c r="A507" s="7"/>
      <c r="B507" s="6" t="str">
        <f>IF(A507="","",LOWER(TEXT(A507,"[$-es-ES]mmmm"))&amp;" "&amp;YEAR(A507))</f>
        <v/>
      </c>
      <c r="G507" s="8"/>
    </row>
    <row r="508" spans="1:7">
      <c r="A508" s="7"/>
      <c r="B508" s="6" t="str">
        <f>IF(A508="","",LOWER(TEXT(A508,"[$-es-ES]mmmm"))&amp;" "&amp;YEAR(A508))</f>
        <v/>
      </c>
      <c r="G508" s="8"/>
    </row>
    <row r="509" spans="1:7">
      <c r="A509" s="7"/>
      <c r="B509" s="6" t="str">
        <f>IF(A509="","",LOWER(TEXT(A509,"[$-es-ES]mmmm"))&amp;" "&amp;YEAR(A509))</f>
        <v/>
      </c>
      <c r="G509" s="8"/>
    </row>
    <row r="510" spans="1:7">
      <c r="A510" s="7"/>
      <c r="B510" s="6" t="str">
        <f>IF(A510="","",LOWER(TEXT(A510,"[$-es-ES]mmmm"))&amp;" "&amp;YEAR(A510))</f>
        <v/>
      </c>
      <c r="G510" s="8"/>
    </row>
    <row r="511" spans="1:7">
      <c r="A511" s="7"/>
      <c r="B511" s="6" t="str">
        <f>IF(A511="","",LOWER(TEXT(A511,"[$-es-ES]mmmm"))&amp;" "&amp;YEAR(A511))</f>
        <v/>
      </c>
      <c r="G511" s="8"/>
    </row>
    <row r="512" spans="1:7">
      <c r="A512" s="7"/>
      <c r="B512" s="6" t="str">
        <f>IF(A512="","",LOWER(TEXT(A512,"[$-es-ES]mmmm"))&amp;" "&amp;YEAR(A512))</f>
        <v/>
      </c>
      <c r="G512" s="8"/>
    </row>
    <row r="513" spans="1:7">
      <c r="A513" s="7"/>
      <c r="B513" s="6" t="str">
        <f>IF(A513="","",LOWER(TEXT(A513,"[$-es-ES]mmmm"))&amp;" "&amp;YEAR(A513))</f>
        <v/>
      </c>
      <c r="G513" s="8"/>
    </row>
    <row r="514" spans="1:7">
      <c r="A514" s="7"/>
      <c r="B514" s="6" t="str">
        <f>IF(A514="","",LOWER(TEXT(A514,"[$-es-ES]mmmm"))&amp;" "&amp;YEAR(A514))</f>
        <v/>
      </c>
      <c r="G514" s="8"/>
    </row>
    <row r="515" spans="1:7">
      <c r="A515" s="7"/>
      <c r="B515" s="6" t="str">
        <f>IF(A515="","",LOWER(TEXT(A515,"[$-es-ES]mmmm"))&amp;" "&amp;YEAR(A515))</f>
        <v/>
      </c>
      <c r="G515" s="8"/>
    </row>
    <row r="516" spans="1:7">
      <c r="A516" s="7"/>
      <c r="B516" s="6" t="str">
        <f>IF(A516="","",LOWER(TEXT(A516,"[$-es-ES]mmmm"))&amp;" "&amp;YEAR(A516))</f>
        <v/>
      </c>
      <c r="G516" s="8"/>
    </row>
    <row r="517" spans="1:7">
      <c r="A517" s="7"/>
      <c r="B517" s="6" t="str">
        <f>IF(A517="","",LOWER(TEXT(A517,"[$-es-ES]mmmm"))&amp;" "&amp;YEAR(A517))</f>
        <v/>
      </c>
      <c r="G517" s="8"/>
    </row>
    <row r="518" spans="1:7">
      <c r="A518" s="7"/>
      <c r="B518" s="6" t="str">
        <f>IF(A518="","",LOWER(TEXT(A518,"[$-es-ES]mmmm"))&amp;" "&amp;YEAR(A518))</f>
        <v/>
      </c>
      <c r="G518" s="8"/>
    </row>
    <row r="519" spans="1:7">
      <c r="A519" s="7"/>
      <c r="B519" s="6" t="str">
        <f>IF(A519="","",LOWER(TEXT(A519,"[$-es-ES]mmmm"))&amp;" "&amp;YEAR(A519))</f>
        <v/>
      </c>
      <c r="G519" s="8"/>
    </row>
    <row r="520" spans="1:7">
      <c r="A520" s="7"/>
      <c r="B520" s="6" t="str">
        <f>IF(A520="","",LOWER(TEXT(A520,"[$-es-ES]mmmm"))&amp;" "&amp;YEAR(A520))</f>
        <v/>
      </c>
      <c r="G520" s="8"/>
    </row>
    <row r="521" spans="1:7">
      <c r="A521" s="7"/>
      <c r="B521" s="6" t="str">
        <f>IF(A521="","",LOWER(TEXT(A521,"[$-es-ES]mmmm"))&amp;" "&amp;YEAR(A521))</f>
        <v/>
      </c>
      <c r="G521" s="8"/>
    </row>
    <row r="522" spans="1:7">
      <c r="A522" s="7"/>
      <c r="B522" s="6" t="str">
        <f>IF(A522="","",LOWER(TEXT(A522,"[$-es-ES]mmmm"))&amp;" "&amp;YEAR(A522))</f>
        <v/>
      </c>
      <c r="G522" s="8"/>
    </row>
    <row r="523" spans="1:7">
      <c r="A523" s="7"/>
      <c r="B523" s="6" t="str">
        <f>IF(A523="","",LOWER(TEXT(A523,"[$-es-ES]mmmm"))&amp;" "&amp;YEAR(A523))</f>
        <v/>
      </c>
      <c r="G523" s="8"/>
    </row>
    <row r="524" spans="1:7">
      <c r="A524" s="7"/>
      <c r="B524" s="6" t="str">
        <f>IF(A524="","",LOWER(TEXT(A524,"[$-es-ES]mmmm"))&amp;" "&amp;YEAR(A524))</f>
        <v/>
      </c>
      <c r="G524" s="8"/>
    </row>
    <row r="525" spans="1:7">
      <c r="A525" s="7"/>
      <c r="B525" s="6" t="str">
        <f>IF(A525="","",LOWER(TEXT(A525,"[$-es-ES]mmmm"))&amp;" "&amp;YEAR(A525))</f>
        <v/>
      </c>
      <c r="G525" s="8"/>
    </row>
    <row r="526" spans="1:7">
      <c r="A526" s="7"/>
      <c r="B526" s="6" t="str">
        <f>IF(A526="","",LOWER(TEXT(A526,"[$-es-ES]mmmm"))&amp;" "&amp;YEAR(A526))</f>
        <v/>
      </c>
      <c r="G526" s="8"/>
    </row>
    <row r="527" spans="1:7">
      <c r="A527" s="7"/>
      <c r="B527" s="6" t="str">
        <f>IF(A527="","",LOWER(TEXT(A527,"[$-es-ES]mmmm"))&amp;" "&amp;YEAR(A527))</f>
        <v/>
      </c>
      <c r="G527" s="8"/>
    </row>
    <row r="528" spans="1:7">
      <c r="A528" s="7"/>
      <c r="B528" s="6" t="str">
        <f>IF(A528="","",LOWER(TEXT(A528,"[$-es-ES]mmmm"))&amp;" "&amp;YEAR(A528))</f>
        <v/>
      </c>
      <c r="G528" s="8"/>
    </row>
    <row r="529" spans="1:7">
      <c r="A529" s="7"/>
      <c r="B529" s="6" t="str">
        <f>IF(A529="","",LOWER(TEXT(A529,"[$-es-ES]mmmm"))&amp;" "&amp;YEAR(A529))</f>
        <v/>
      </c>
      <c r="G529" s="8"/>
    </row>
    <row r="530" spans="1:7">
      <c r="A530" s="7"/>
      <c r="B530" s="6" t="str">
        <f>IF(A530="","",LOWER(TEXT(A530,"[$-es-ES]mmmm"))&amp;" "&amp;YEAR(A530))</f>
        <v/>
      </c>
      <c r="G530" s="8"/>
    </row>
    <row r="531" spans="1:7">
      <c r="A531" s="7"/>
      <c r="B531" s="6" t="str">
        <f>IF(A531="","",LOWER(TEXT(A531,"[$-es-ES]mmmm"))&amp;" "&amp;YEAR(A531))</f>
        <v/>
      </c>
      <c r="G531" s="8"/>
    </row>
    <row r="532" spans="1:7">
      <c r="A532" s="7"/>
      <c r="B532" s="6" t="str">
        <f>IF(A532="","",LOWER(TEXT(A532,"[$-es-ES]mmmm"))&amp;" "&amp;YEAR(A532))</f>
        <v/>
      </c>
      <c r="G532" s="8"/>
    </row>
    <row r="533" spans="1:7">
      <c r="A533" s="7"/>
      <c r="B533" s="6" t="str">
        <f>IF(A533="","",LOWER(TEXT(A533,"[$-es-ES]mmmm"))&amp;" "&amp;YEAR(A533))</f>
        <v/>
      </c>
      <c r="G533" s="8"/>
    </row>
    <row r="534" spans="1:7">
      <c r="A534" s="7"/>
      <c r="B534" s="6" t="str">
        <f>IF(A534="","",LOWER(TEXT(A534,"[$-es-ES]mmmm"))&amp;" "&amp;YEAR(A534))</f>
        <v/>
      </c>
      <c r="G534" s="8"/>
    </row>
    <row r="535" spans="1:7">
      <c r="A535" s="7"/>
      <c r="B535" s="6" t="str">
        <f>IF(A535="","",LOWER(TEXT(A535,"[$-es-ES]mmmm"))&amp;" "&amp;YEAR(A535))</f>
        <v/>
      </c>
      <c r="G535" s="8"/>
    </row>
    <row r="536" spans="1:7">
      <c r="A536" s="7"/>
      <c r="B536" s="6" t="str">
        <f>IF(A536="","",LOWER(TEXT(A536,"[$-es-ES]mmmm"))&amp;" "&amp;YEAR(A536))</f>
        <v/>
      </c>
      <c r="G536" s="8"/>
    </row>
    <row r="537" spans="1:7">
      <c r="A537" s="7"/>
      <c r="B537" s="6" t="str">
        <f>IF(A537="","",LOWER(TEXT(A537,"[$-es-ES]mmmm"))&amp;" "&amp;YEAR(A537))</f>
        <v/>
      </c>
      <c r="G537" s="8"/>
    </row>
    <row r="538" spans="1:7">
      <c r="A538" s="7"/>
      <c r="B538" s="6" t="str">
        <f>IF(A538="","",LOWER(TEXT(A538,"[$-es-ES]mmmm"))&amp;" "&amp;YEAR(A538))</f>
        <v/>
      </c>
      <c r="G538" s="8"/>
    </row>
    <row r="539" spans="1:7">
      <c r="A539" s="7"/>
      <c r="B539" s="6" t="str">
        <f>IF(A539="","",LOWER(TEXT(A539,"[$-es-ES]mmmm"))&amp;" "&amp;YEAR(A539))</f>
        <v/>
      </c>
      <c r="G539" s="8"/>
    </row>
    <row r="540" spans="1:7">
      <c r="A540" s="7"/>
      <c r="B540" s="6" t="str">
        <f>IF(A540="","",LOWER(TEXT(A540,"[$-es-ES]mmmm"))&amp;" "&amp;YEAR(A540))</f>
        <v/>
      </c>
      <c r="G540" s="8"/>
    </row>
    <row r="541" spans="1:7">
      <c r="A541" s="7"/>
      <c r="B541" s="6" t="str">
        <f>IF(A541="","",LOWER(TEXT(A541,"[$-es-ES]mmmm"))&amp;" "&amp;YEAR(A541))</f>
        <v/>
      </c>
      <c r="G541" s="8"/>
    </row>
    <row r="542" spans="1:7">
      <c r="A542" s="7"/>
      <c r="B542" s="6" t="str">
        <f>IF(A542="","",LOWER(TEXT(A542,"[$-es-ES]mmmm"))&amp;" "&amp;YEAR(A542))</f>
        <v/>
      </c>
      <c r="G542" s="8"/>
    </row>
    <row r="543" spans="1:7">
      <c r="A543" s="7"/>
      <c r="B543" s="6" t="str">
        <f>IF(A543="","",LOWER(TEXT(A543,"[$-es-ES]mmmm"))&amp;" "&amp;YEAR(A543))</f>
        <v/>
      </c>
      <c r="G543" s="8"/>
    </row>
    <row r="544" spans="1:7">
      <c r="A544" s="7"/>
      <c r="B544" s="6" t="str">
        <f>IF(A544="","",LOWER(TEXT(A544,"[$-es-ES]mmmm"))&amp;" "&amp;YEAR(A544))</f>
        <v/>
      </c>
      <c r="G544" s="8"/>
    </row>
    <row r="545" spans="1:7">
      <c r="A545" s="7"/>
      <c r="B545" s="6" t="str">
        <f>IF(A545="","",LOWER(TEXT(A545,"[$-es-ES]mmmm"))&amp;" "&amp;YEAR(A545))</f>
        <v/>
      </c>
      <c r="G545" s="8"/>
    </row>
    <row r="546" spans="1:7">
      <c r="A546" s="7"/>
      <c r="B546" s="6" t="str">
        <f>IF(A546="","",LOWER(TEXT(A546,"[$-es-ES]mmmm"))&amp;" "&amp;YEAR(A546))</f>
        <v/>
      </c>
      <c r="G546" s="8"/>
    </row>
    <row r="547" spans="1:7">
      <c r="A547" s="7"/>
      <c r="B547" s="6" t="str">
        <f>IF(A547="","",LOWER(TEXT(A547,"[$-es-ES]mmmm"))&amp;" "&amp;YEAR(A547))</f>
        <v/>
      </c>
      <c r="G547" s="8"/>
    </row>
    <row r="548" spans="1:7">
      <c r="A548" s="7"/>
      <c r="B548" s="6" t="str">
        <f>IF(A548="","",LOWER(TEXT(A548,"[$-es-ES]mmmm"))&amp;" "&amp;YEAR(A548))</f>
        <v/>
      </c>
      <c r="G548" s="8"/>
    </row>
    <row r="549" spans="1:7">
      <c r="A549" s="7"/>
      <c r="B549" s="6" t="str">
        <f>IF(A549="","",LOWER(TEXT(A549,"[$-es-ES]mmmm"))&amp;" "&amp;YEAR(A549))</f>
        <v/>
      </c>
      <c r="G549" s="8"/>
    </row>
    <row r="550" spans="1:7">
      <c r="A550" s="7"/>
      <c r="B550" s="6" t="str">
        <f>IF(A550="","",LOWER(TEXT(A550,"[$-es-ES]mmmm"))&amp;" "&amp;YEAR(A550))</f>
        <v/>
      </c>
      <c r="G550" s="8"/>
    </row>
    <row r="551" spans="1:7">
      <c r="A551" s="7"/>
      <c r="B551" s="6" t="str">
        <f>IF(A551="","",LOWER(TEXT(A551,"[$-es-ES]mmmm"))&amp;" "&amp;YEAR(A551))</f>
        <v/>
      </c>
      <c r="G551" s="8"/>
    </row>
    <row r="552" spans="1:7">
      <c r="A552" s="7"/>
      <c r="B552" s="6" t="str">
        <f>IF(A552="","",LOWER(TEXT(A552,"[$-es-ES]mmmm"))&amp;" "&amp;YEAR(A552))</f>
        <v/>
      </c>
      <c r="G552" s="8"/>
    </row>
    <row r="553" spans="1:7">
      <c r="A553" s="7"/>
      <c r="B553" s="6" t="str">
        <f>IF(A553="","",LOWER(TEXT(A553,"[$-es-ES]mmmm"))&amp;" "&amp;YEAR(A553))</f>
        <v/>
      </c>
      <c r="G553" s="8"/>
    </row>
    <row r="554" spans="1:7">
      <c r="A554" s="7"/>
      <c r="B554" s="6" t="str">
        <f>IF(A554="","",LOWER(TEXT(A554,"[$-es-ES]mmmm"))&amp;" "&amp;YEAR(A554))</f>
        <v/>
      </c>
      <c r="G554" s="8"/>
    </row>
    <row r="555" spans="1:7">
      <c r="A555" s="7"/>
      <c r="B555" s="6" t="str">
        <f>IF(A555="","",LOWER(TEXT(A555,"[$-es-ES]mmmm"))&amp;" "&amp;YEAR(A555))</f>
        <v/>
      </c>
      <c r="G555" s="8"/>
    </row>
    <row r="556" spans="1:7">
      <c r="A556" s="7"/>
      <c r="B556" s="6" t="str">
        <f>IF(A556="","",LOWER(TEXT(A556,"[$-es-ES]mmmm"))&amp;" "&amp;YEAR(A556))</f>
        <v/>
      </c>
      <c r="G556" s="8"/>
    </row>
    <row r="557" spans="1:7">
      <c r="A557" s="7"/>
      <c r="B557" s="6" t="str">
        <f>IF(A557="","",LOWER(TEXT(A557,"[$-es-ES]mmmm"))&amp;" "&amp;YEAR(A557))</f>
        <v/>
      </c>
      <c r="G557" s="8"/>
    </row>
    <row r="558" spans="1:7">
      <c r="A558" s="7"/>
      <c r="B558" s="6" t="str">
        <f>IF(A558="","",LOWER(TEXT(A558,"[$-es-ES]mmmm"))&amp;" "&amp;YEAR(A558))</f>
        <v/>
      </c>
      <c r="G558" s="8"/>
    </row>
    <row r="559" spans="1:7">
      <c r="A559" s="7"/>
      <c r="B559" s="6" t="str">
        <f>IF(A559="","",LOWER(TEXT(A559,"[$-es-ES]mmmm"))&amp;" "&amp;YEAR(A559))</f>
        <v/>
      </c>
      <c r="G559" s="8"/>
    </row>
    <row r="560" spans="1:7">
      <c r="A560" s="7"/>
      <c r="B560" s="6" t="str">
        <f>IF(A560="","",LOWER(TEXT(A560,"[$-es-ES]mmmm"))&amp;" "&amp;YEAR(A560))</f>
        <v/>
      </c>
      <c r="G560" s="8"/>
    </row>
    <row r="561" spans="1:7">
      <c r="A561" s="7"/>
      <c r="B561" s="6" t="str">
        <f>IF(A561="","",LOWER(TEXT(A561,"[$-es-ES]mmmm"))&amp;" "&amp;YEAR(A561))</f>
        <v/>
      </c>
      <c r="G561" s="8"/>
    </row>
    <row r="562" spans="1:7">
      <c r="A562" s="7"/>
      <c r="B562" s="6" t="str">
        <f>IF(A562="","",LOWER(TEXT(A562,"[$-es-ES]mmmm"))&amp;" "&amp;YEAR(A562))</f>
        <v/>
      </c>
      <c r="G562" s="8"/>
    </row>
    <row r="563" spans="1:7">
      <c r="A563" s="7"/>
      <c r="B563" s="6" t="str">
        <f>IF(A563="","",LOWER(TEXT(A563,"[$-es-ES]mmmm"))&amp;" "&amp;YEAR(A563))</f>
        <v/>
      </c>
      <c r="G563" s="8"/>
    </row>
    <row r="564" spans="1:7">
      <c r="A564" s="7"/>
      <c r="B564" s="6" t="str">
        <f>IF(A564="","",LOWER(TEXT(A564,"[$-es-ES]mmmm"))&amp;" "&amp;YEAR(A564))</f>
        <v/>
      </c>
      <c r="G564" s="8"/>
    </row>
    <row r="565" spans="1:7">
      <c r="A565" s="7"/>
      <c r="B565" s="6" t="str">
        <f>IF(A565="","",LOWER(TEXT(A565,"[$-es-ES]mmmm"))&amp;" "&amp;YEAR(A565))</f>
        <v/>
      </c>
      <c r="G565" s="8"/>
    </row>
    <row r="566" spans="1:7">
      <c r="A566" s="7"/>
      <c r="B566" s="6" t="str">
        <f>IF(A566="","",LOWER(TEXT(A566,"[$-es-ES]mmmm"))&amp;" "&amp;YEAR(A566))</f>
        <v/>
      </c>
      <c r="G566" s="8"/>
    </row>
    <row r="567" spans="1:7">
      <c r="A567" s="7"/>
      <c r="B567" s="6" t="str">
        <f>IF(A567="","",LOWER(TEXT(A567,"[$-es-ES]mmmm"))&amp;" "&amp;YEAR(A567))</f>
        <v/>
      </c>
      <c r="G567" s="8"/>
    </row>
    <row r="568" spans="1:7">
      <c r="A568" s="7"/>
      <c r="B568" s="6" t="str">
        <f>IF(A568="","",LOWER(TEXT(A568,"[$-es-ES]mmmm"))&amp;" "&amp;YEAR(A568))</f>
        <v/>
      </c>
      <c r="G568" s="8"/>
    </row>
    <row r="569" spans="1:7">
      <c r="A569" s="7"/>
      <c r="B569" s="6" t="str">
        <f>IF(A569="","",LOWER(TEXT(A569,"[$-es-ES]mmmm"))&amp;" "&amp;YEAR(A569))</f>
        <v/>
      </c>
      <c r="G569" s="8"/>
    </row>
    <row r="570" spans="1:7">
      <c r="A570" s="7"/>
      <c r="B570" s="6" t="str">
        <f>IF(A570="","",LOWER(TEXT(A570,"[$-es-ES]mmmm"))&amp;" "&amp;YEAR(A570))</f>
        <v/>
      </c>
      <c r="G570" s="8"/>
    </row>
    <row r="571" spans="1:7">
      <c r="A571" s="7"/>
      <c r="B571" s="6" t="str">
        <f>IF(A571="","",LOWER(TEXT(A571,"[$-es-ES]mmmm"))&amp;" "&amp;YEAR(A571))</f>
        <v/>
      </c>
      <c r="G571" s="8"/>
    </row>
    <row r="572" spans="1:7">
      <c r="A572" s="7"/>
      <c r="B572" s="6" t="str">
        <f>IF(A572="","",LOWER(TEXT(A572,"[$-es-ES]mmmm"))&amp;" "&amp;YEAR(A572))</f>
        <v/>
      </c>
      <c r="G572" s="8"/>
    </row>
    <row r="573" spans="1:7">
      <c r="A573" s="7"/>
      <c r="B573" s="6" t="str">
        <f>IF(A573="","",LOWER(TEXT(A573,"[$-es-ES]mmmm"))&amp;" "&amp;YEAR(A573))</f>
        <v/>
      </c>
      <c r="G573" s="8"/>
    </row>
    <row r="574" spans="1:7">
      <c r="A574" s="7"/>
      <c r="B574" s="6" t="str">
        <f>IF(A574="","",LOWER(TEXT(A574,"[$-es-ES]mmmm"))&amp;" "&amp;YEAR(A574))</f>
        <v/>
      </c>
      <c r="G574" s="8"/>
    </row>
    <row r="575" spans="1:7">
      <c r="A575" s="7"/>
      <c r="B575" s="6" t="str">
        <f>IF(A575="","",LOWER(TEXT(A575,"[$-es-ES]mmmm"))&amp;" "&amp;YEAR(A575))</f>
        <v/>
      </c>
      <c r="G575" s="8"/>
    </row>
    <row r="576" spans="1:7">
      <c r="A576" s="7"/>
      <c r="B576" s="6" t="str">
        <f>IF(A576="","",LOWER(TEXT(A576,"[$-es-ES]mmmm"))&amp;" "&amp;YEAR(A576))</f>
        <v/>
      </c>
      <c r="G576" s="8"/>
    </row>
    <row r="577" spans="1:7">
      <c r="A577" s="7"/>
      <c r="B577" s="6" t="str">
        <f>IF(A577="","",LOWER(TEXT(A577,"[$-es-ES]mmmm"))&amp;" "&amp;YEAR(A577))</f>
        <v/>
      </c>
      <c r="G577" s="8"/>
    </row>
    <row r="578" spans="1:7">
      <c r="A578" s="7"/>
      <c r="B578" s="6" t="str">
        <f>IF(A578="","",LOWER(TEXT(A578,"[$-es-ES]mmmm"))&amp;" "&amp;YEAR(A578))</f>
        <v/>
      </c>
      <c r="G578" s="8"/>
    </row>
    <row r="579" spans="1:7">
      <c r="A579" s="7"/>
      <c r="B579" s="6" t="str">
        <f>IF(A579="","",LOWER(TEXT(A579,"[$-es-ES]mmmm"))&amp;" "&amp;YEAR(A579))</f>
        <v/>
      </c>
      <c r="G579" s="8"/>
    </row>
    <row r="580" spans="1:7">
      <c r="A580" s="7"/>
      <c r="B580" s="6" t="str">
        <f>IF(A580="","",LOWER(TEXT(A580,"[$-es-ES]mmmm"))&amp;" "&amp;YEAR(A580))</f>
        <v/>
      </c>
      <c r="G580" s="8"/>
    </row>
    <row r="581" spans="1:7">
      <c r="A581" s="7"/>
      <c r="B581" s="6" t="str">
        <f>IF(A581="","",LOWER(TEXT(A581,"[$-es-ES]mmmm"))&amp;" "&amp;YEAR(A581))</f>
        <v/>
      </c>
      <c r="G581" s="8"/>
    </row>
    <row r="582" spans="1:7">
      <c r="A582" s="7"/>
      <c r="B582" s="6" t="str">
        <f>IF(A582="","",LOWER(TEXT(A582,"[$-es-ES]mmmm"))&amp;" "&amp;YEAR(A582))</f>
        <v/>
      </c>
      <c r="G582" s="8"/>
    </row>
    <row r="583" spans="1:7">
      <c r="A583" s="7"/>
      <c r="B583" s="6" t="str">
        <f>IF(A583="","",LOWER(TEXT(A583,"[$-es-ES]mmmm"))&amp;" "&amp;YEAR(A583))</f>
        <v/>
      </c>
      <c r="G583" s="8"/>
    </row>
    <row r="584" spans="1:7">
      <c r="A584" s="7"/>
      <c r="B584" s="6" t="str">
        <f>IF(A584="","",LOWER(TEXT(A584,"[$-es-ES]mmmm"))&amp;" "&amp;YEAR(A584))</f>
        <v/>
      </c>
      <c r="G584" s="8"/>
    </row>
    <row r="585" spans="1:7">
      <c r="A585" s="7"/>
      <c r="B585" s="6" t="str">
        <f>IF(A585="","",LOWER(TEXT(A585,"[$-es-ES]mmmm"))&amp;" "&amp;YEAR(A585))</f>
        <v/>
      </c>
      <c r="G585" s="8"/>
    </row>
    <row r="586" spans="1:7">
      <c r="A586" s="7"/>
      <c r="B586" s="6" t="str">
        <f>IF(A586="","",LOWER(TEXT(A586,"[$-es-ES]mmmm"))&amp;" "&amp;YEAR(A586))</f>
        <v/>
      </c>
      <c r="G586" s="8"/>
    </row>
    <row r="587" spans="1:7">
      <c r="A587" s="7"/>
      <c r="B587" s="6" t="str">
        <f>IF(A587="","",LOWER(TEXT(A587,"[$-es-ES]mmmm"))&amp;" "&amp;YEAR(A587))</f>
        <v/>
      </c>
      <c r="G587" s="8"/>
    </row>
    <row r="588" spans="1:7">
      <c r="A588" s="7"/>
      <c r="B588" s="6" t="str">
        <f>IF(A588="","",LOWER(TEXT(A588,"[$-es-ES]mmmm"))&amp;" "&amp;YEAR(A588))</f>
        <v/>
      </c>
      <c r="G588" s="8"/>
    </row>
    <row r="589" spans="1:7">
      <c r="A589" s="7"/>
      <c r="B589" s="6" t="str">
        <f>IF(A589="","",LOWER(TEXT(A589,"[$-es-ES]mmmm"))&amp;" "&amp;YEAR(A589))</f>
        <v/>
      </c>
      <c r="G589" s="8"/>
    </row>
    <row r="590" spans="1:7">
      <c r="A590" s="7"/>
      <c r="B590" s="6" t="str">
        <f>IF(A590="","",LOWER(TEXT(A590,"[$-es-ES]mmmm"))&amp;" "&amp;YEAR(A590))</f>
        <v/>
      </c>
      <c r="G590" s="8"/>
    </row>
    <row r="591" spans="1:7">
      <c r="A591" s="7"/>
      <c r="B591" s="6" t="str">
        <f>IF(A591="","",LOWER(TEXT(A591,"[$-es-ES]mmmm"))&amp;" "&amp;YEAR(A591))</f>
        <v/>
      </c>
      <c r="G591" s="8"/>
    </row>
    <row r="592" spans="1:7">
      <c r="A592" s="7"/>
      <c r="B592" s="6" t="str">
        <f>IF(A592="","",LOWER(TEXT(A592,"[$-es-ES]mmmm"))&amp;" "&amp;YEAR(A592))</f>
        <v/>
      </c>
      <c r="G592" s="8"/>
    </row>
    <row r="593" spans="1:7">
      <c r="A593" s="7"/>
      <c r="B593" s="6" t="str">
        <f>IF(A593="","",LOWER(TEXT(A593,"[$-es-ES]mmmm"))&amp;" "&amp;YEAR(A593))</f>
        <v/>
      </c>
      <c r="G593" s="8"/>
    </row>
    <row r="594" spans="1:7">
      <c r="A594" s="7"/>
      <c r="B594" s="6" t="str">
        <f>IF(A594="","",LOWER(TEXT(A594,"[$-es-ES]mmmm"))&amp;" "&amp;YEAR(A594))</f>
        <v/>
      </c>
      <c r="G594" s="8"/>
    </row>
    <row r="595" spans="1:7">
      <c r="A595" s="7"/>
      <c r="B595" s="6" t="str">
        <f>IF(A595="","",LOWER(TEXT(A595,"[$-es-ES]mmmm"))&amp;" "&amp;YEAR(A595))</f>
        <v/>
      </c>
      <c r="G595" s="8"/>
    </row>
    <row r="596" spans="1:7">
      <c r="A596" s="7"/>
      <c r="B596" s="6" t="str">
        <f>IF(A596="","",LOWER(TEXT(A596,"[$-es-ES]mmmm"))&amp;" "&amp;YEAR(A596))</f>
        <v/>
      </c>
      <c r="G596" s="8"/>
    </row>
    <row r="597" spans="1:7">
      <c r="A597" s="7"/>
      <c r="B597" s="6" t="str">
        <f>IF(A597="","",LOWER(TEXT(A597,"[$-es-ES]mmmm"))&amp;" "&amp;YEAR(A597))</f>
        <v/>
      </c>
      <c r="G597" s="8"/>
    </row>
    <row r="598" spans="1:7">
      <c r="A598" s="7"/>
      <c r="B598" s="6" t="str">
        <f>IF(A598="","",LOWER(TEXT(A598,"[$-es-ES]mmmm"))&amp;" "&amp;YEAR(A598))</f>
        <v/>
      </c>
      <c r="G598" s="8"/>
    </row>
    <row r="599" spans="1:7">
      <c r="A599" s="7"/>
      <c r="B599" s="6" t="str">
        <f>IF(A599="","",LOWER(TEXT(A599,"[$-es-ES]mmmm"))&amp;" "&amp;YEAR(A599))</f>
        <v/>
      </c>
      <c r="G599" s="8"/>
    </row>
    <row r="600" spans="1:7">
      <c r="A600" s="7"/>
      <c r="B600" s="6" t="str">
        <f>IF(A600="","",LOWER(TEXT(A600,"[$-es-ES]mmmm"))&amp;" "&amp;YEAR(A600))</f>
        <v/>
      </c>
      <c r="G600" s="8"/>
    </row>
    <row r="601" spans="1:7">
      <c r="A601" s="7"/>
      <c r="B601" s="6" t="str">
        <f>IF(A601="","",LOWER(TEXT(A601,"[$-es-ES]mmmm"))&amp;" "&amp;YEAR(A601))</f>
        <v/>
      </c>
      <c r="G601" s="8"/>
    </row>
    <row r="602" spans="1:7">
      <c r="A602" s="7"/>
      <c r="B602" s="6" t="str">
        <f>IF(A602="","",LOWER(TEXT(A602,"[$-es-ES]mmmm"))&amp;" "&amp;YEAR(A602))</f>
        <v/>
      </c>
      <c r="G602" s="8"/>
    </row>
    <row r="603" spans="1:7">
      <c r="A603" s="7"/>
      <c r="B603" s="6" t="str">
        <f>IF(A603="","",LOWER(TEXT(A603,"[$-es-ES]mmmm"))&amp;" "&amp;YEAR(A603))</f>
        <v/>
      </c>
      <c r="G603" s="8"/>
    </row>
    <row r="604" spans="1:7">
      <c r="A604" s="7"/>
      <c r="B604" s="6" t="str">
        <f>IF(A604="","",LOWER(TEXT(A604,"[$-es-ES]mmmm"))&amp;" "&amp;YEAR(A604))</f>
        <v/>
      </c>
      <c r="G604" s="8"/>
    </row>
    <row r="605" spans="1:7">
      <c r="A605" s="7"/>
      <c r="B605" s="6" t="str">
        <f>IF(A605="","",LOWER(TEXT(A605,"[$-es-ES]mmmm"))&amp;" "&amp;YEAR(A605))</f>
        <v/>
      </c>
      <c r="G605" s="8"/>
    </row>
    <row r="606" spans="1:7">
      <c r="A606" s="7"/>
      <c r="B606" s="6" t="str">
        <f>IF(A606="","",LOWER(TEXT(A606,"[$-es-ES]mmmm"))&amp;" "&amp;YEAR(A606))</f>
        <v/>
      </c>
      <c r="G606" s="8"/>
    </row>
    <row r="607" spans="1:7">
      <c r="A607" s="7"/>
      <c r="B607" s="6" t="str">
        <f>IF(A607="","",LOWER(TEXT(A607,"[$-es-ES]mmmm"))&amp;" "&amp;YEAR(A607))</f>
        <v/>
      </c>
      <c r="G607" s="8"/>
    </row>
    <row r="608" spans="1:7">
      <c r="A608" s="7"/>
      <c r="B608" s="6" t="str">
        <f>IF(A608="","",LOWER(TEXT(A608,"[$-es-ES]mmmm"))&amp;" "&amp;YEAR(A608))</f>
        <v/>
      </c>
      <c r="G608" s="8"/>
    </row>
    <row r="609" spans="1:7">
      <c r="A609" s="7"/>
      <c r="B609" s="6" t="str">
        <f>IF(A609="","",LOWER(TEXT(A609,"[$-es-ES]mmmm"))&amp;" "&amp;YEAR(A609))</f>
        <v/>
      </c>
      <c r="G609" s="8"/>
    </row>
    <row r="610" spans="1:7">
      <c r="A610" s="7"/>
      <c r="B610" s="6" t="str">
        <f>IF(A610="","",LOWER(TEXT(A610,"[$-es-ES]mmmm"))&amp;" "&amp;YEAR(A610))</f>
        <v/>
      </c>
      <c r="G610" s="8"/>
    </row>
    <row r="611" spans="1:7">
      <c r="A611" s="7"/>
      <c r="B611" s="6" t="str">
        <f>IF(A611="","",LOWER(TEXT(A611,"[$-es-ES]mmmm"))&amp;" "&amp;YEAR(A611))</f>
        <v/>
      </c>
      <c r="G611" s="8"/>
    </row>
    <row r="612" spans="1:7">
      <c r="A612" s="7"/>
      <c r="B612" s="6" t="str">
        <f>IF(A612="","",LOWER(TEXT(A612,"[$-es-ES]mmmm"))&amp;" "&amp;YEAR(A612))</f>
        <v/>
      </c>
      <c r="G612" s="8"/>
    </row>
    <row r="613" spans="1:7">
      <c r="A613" s="7"/>
      <c r="B613" s="6" t="str">
        <f>IF(A613="","",LOWER(TEXT(A613,"[$-es-ES]mmmm"))&amp;" "&amp;YEAR(A613))</f>
        <v/>
      </c>
      <c r="G613" s="8"/>
    </row>
    <row r="614" spans="1:7">
      <c r="A614" s="7"/>
      <c r="B614" s="6" t="str">
        <f>IF(A614="","",LOWER(TEXT(A614,"[$-es-ES]mmmm"))&amp;" "&amp;YEAR(A614))</f>
        <v/>
      </c>
      <c r="G614" s="8"/>
    </row>
    <row r="615" spans="1:7">
      <c r="A615" s="7"/>
      <c r="B615" s="6" t="str">
        <f>IF(A615="","",LOWER(TEXT(A615,"[$-es-ES]mmmm"))&amp;" "&amp;YEAR(A615))</f>
        <v/>
      </c>
      <c r="G615" s="8"/>
    </row>
    <row r="616" spans="1:7">
      <c r="A616" s="7"/>
      <c r="B616" s="6" t="str">
        <f>IF(A616="","",LOWER(TEXT(A616,"[$-es-ES]mmmm"))&amp;" "&amp;YEAR(A616))</f>
        <v/>
      </c>
      <c r="G616" s="8"/>
    </row>
    <row r="617" spans="1:7">
      <c r="A617" s="7"/>
      <c r="B617" s="6" t="str">
        <f>IF(A617="","",LOWER(TEXT(A617,"[$-es-ES]mmmm"))&amp;" "&amp;YEAR(A617))</f>
        <v/>
      </c>
      <c r="G617" s="8"/>
    </row>
    <row r="618" spans="1:7">
      <c r="A618" s="7"/>
      <c r="B618" s="6" t="str">
        <f>IF(A618="","",LOWER(TEXT(A618,"[$-es-ES]mmmm"))&amp;" "&amp;YEAR(A618))</f>
        <v/>
      </c>
      <c r="G618" s="8"/>
    </row>
    <row r="619" spans="1:7">
      <c r="A619" s="7"/>
      <c r="B619" s="6" t="str">
        <f>IF(A619="","",LOWER(TEXT(A619,"[$-es-ES]mmmm"))&amp;" "&amp;YEAR(A619))</f>
        <v/>
      </c>
      <c r="G619" s="8"/>
    </row>
    <row r="620" spans="1:7">
      <c r="A620" s="7"/>
      <c r="B620" s="6" t="str">
        <f>IF(A620="","",LOWER(TEXT(A620,"[$-es-ES]mmmm"))&amp;" "&amp;YEAR(A620))</f>
        <v/>
      </c>
      <c r="G620" s="8"/>
    </row>
    <row r="621" spans="1:7">
      <c r="A621" s="7"/>
      <c r="B621" s="6" t="str">
        <f>IF(A621="","",LOWER(TEXT(A621,"[$-es-ES]mmmm"))&amp;" "&amp;YEAR(A621))</f>
        <v/>
      </c>
      <c r="G621" s="8"/>
    </row>
    <row r="622" spans="1:7">
      <c r="A622" s="7"/>
      <c r="B622" s="6" t="str">
        <f>IF(A622="","",LOWER(TEXT(A622,"[$-es-ES]mmmm"))&amp;" "&amp;YEAR(A622))</f>
        <v/>
      </c>
      <c r="G622" s="8"/>
    </row>
    <row r="623" spans="1:7">
      <c r="A623" s="7"/>
      <c r="B623" s="6" t="str">
        <f>IF(A623="","",LOWER(TEXT(A623,"[$-es-ES]mmmm"))&amp;" "&amp;YEAR(A623))</f>
        <v/>
      </c>
      <c r="G623" s="8"/>
    </row>
    <row r="624" spans="1:7">
      <c r="A624" s="7"/>
      <c r="B624" s="6" t="str">
        <f>IF(A624="","",LOWER(TEXT(A624,"[$-es-ES]mmmm"))&amp;" "&amp;YEAR(A624))</f>
        <v/>
      </c>
      <c r="G624" s="8"/>
    </row>
    <row r="625" spans="1:7">
      <c r="A625" s="7"/>
      <c r="B625" s="6" t="str">
        <f>IF(A625="","",LOWER(TEXT(A625,"[$-es-ES]mmmm"))&amp;" "&amp;YEAR(A625))</f>
        <v/>
      </c>
      <c r="G625" s="8"/>
    </row>
    <row r="626" spans="1:7">
      <c r="A626" s="7"/>
      <c r="B626" s="6" t="str">
        <f>IF(A626="","",LOWER(TEXT(A626,"[$-es-ES]mmmm"))&amp;" "&amp;YEAR(A626))</f>
        <v/>
      </c>
      <c r="G626" s="8"/>
    </row>
    <row r="627" spans="1:7">
      <c r="A627" s="7"/>
      <c r="B627" s="6" t="str">
        <f>IF(A627="","",LOWER(TEXT(A627,"[$-es-ES]mmmm"))&amp;" "&amp;YEAR(A627))</f>
        <v/>
      </c>
      <c r="G627" s="8"/>
    </row>
    <row r="628" spans="1:7">
      <c r="A628" s="7"/>
      <c r="B628" s="6" t="str">
        <f>IF(A628="","",LOWER(TEXT(A628,"[$-es-ES]mmmm"))&amp;" "&amp;YEAR(A628))</f>
        <v/>
      </c>
      <c r="G628" s="8"/>
    </row>
    <row r="629" spans="1:7">
      <c r="A629" s="7"/>
      <c r="B629" s="6" t="str">
        <f>IF(A629="","",LOWER(TEXT(A629,"[$-es-ES]mmmm"))&amp;" "&amp;YEAR(A629))</f>
        <v/>
      </c>
      <c r="G629" s="8"/>
    </row>
    <row r="630" spans="1:7">
      <c r="A630" s="7"/>
      <c r="B630" s="6" t="str">
        <f>IF(A630="","",LOWER(TEXT(A630,"[$-es-ES]mmmm"))&amp;" "&amp;YEAR(A630))</f>
        <v/>
      </c>
      <c r="G630" s="8"/>
    </row>
    <row r="631" spans="1:7">
      <c r="A631" s="7"/>
      <c r="B631" s="6" t="str">
        <f>IF(A631="","",LOWER(TEXT(A631,"[$-es-ES]mmmm"))&amp;" "&amp;YEAR(A631))</f>
        <v/>
      </c>
      <c r="G631" s="8"/>
    </row>
    <row r="632" spans="1:7">
      <c r="A632" s="7"/>
      <c r="B632" s="6" t="str">
        <f>IF(A632="","",LOWER(TEXT(A632,"[$-es-ES]mmmm"))&amp;" "&amp;YEAR(A632))</f>
        <v/>
      </c>
      <c r="G632" s="8"/>
    </row>
    <row r="633" spans="1:7">
      <c r="A633" s="7"/>
      <c r="B633" s="6" t="str">
        <f>IF(A633="","",LOWER(TEXT(A633,"[$-es-ES]mmmm"))&amp;" "&amp;YEAR(A633))</f>
        <v/>
      </c>
      <c r="G633" s="8"/>
    </row>
    <row r="634" spans="1:7">
      <c r="A634" s="7"/>
      <c r="B634" s="6" t="str">
        <f>IF(A634="","",LOWER(TEXT(A634,"[$-es-ES]mmmm"))&amp;" "&amp;YEAR(A634))</f>
        <v/>
      </c>
      <c r="G634" s="8"/>
    </row>
    <row r="635" spans="1:7">
      <c r="A635" s="7"/>
      <c r="B635" s="6" t="str">
        <f>IF(A635="","",LOWER(TEXT(A635,"[$-es-ES]mmmm"))&amp;" "&amp;YEAR(A635))</f>
        <v/>
      </c>
      <c r="G635" s="8"/>
    </row>
    <row r="636" spans="1:7">
      <c r="A636" s="7"/>
      <c r="B636" s="6" t="str">
        <f>IF(A636="","",LOWER(TEXT(A636,"[$-es-ES]mmmm"))&amp;" "&amp;YEAR(A636))</f>
        <v/>
      </c>
      <c r="G636" s="8"/>
    </row>
    <row r="637" spans="1:7">
      <c r="A637" s="7"/>
      <c r="B637" s="6" t="str">
        <f>IF(A637="","",LOWER(TEXT(A637,"[$-es-ES]mmmm"))&amp;" "&amp;YEAR(A637))</f>
        <v/>
      </c>
      <c r="G637" s="8"/>
    </row>
    <row r="638" spans="1:7">
      <c r="A638" s="7"/>
      <c r="B638" s="6" t="str">
        <f>IF(A638="","",LOWER(TEXT(A638,"[$-es-ES]mmmm"))&amp;" "&amp;YEAR(A638))</f>
        <v/>
      </c>
      <c r="G638" s="8"/>
    </row>
    <row r="639" spans="1:7">
      <c r="A639" s="7"/>
      <c r="B639" s="6" t="str">
        <f>IF(A639="","",LOWER(TEXT(A639,"[$-es-ES]mmmm"))&amp;" "&amp;YEAR(A639))</f>
        <v/>
      </c>
      <c r="G639" s="8"/>
    </row>
    <row r="640" spans="1:7">
      <c r="A640" s="7"/>
      <c r="B640" s="6" t="str">
        <f>IF(A640="","",LOWER(TEXT(A640,"[$-es-ES]mmmm"))&amp;" "&amp;YEAR(A640))</f>
        <v/>
      </c>
      <c r="G640" s="8"/>
    </row>
    <row r="641" spans="1:7">
      <c r="A641" s="7"/>
      <c r="B641" s="6" t="str">
        <f>IF(A641="","",LOWER(TEXT(A641,"[$-es-ES]mmmm"))&amp;" "&amp;YEAR(A641))</f>
        <v/>
      </c>
      <c r="G641" s="8"/>
    </row>
    <row r="642" spans="1:7">
      <c r="A642" s="7"/>
      <c r="B642" s="6" t="str">
        <f>IF(A642="","",LOWER(TEXT(A642,"[$-es-ES]mmmm"))&amp;" "&amp;YEAR(A642))</f>
        <v/>
      </c>
      <c r="G642" s="8"/>
    </row>
    <row r="643" spans="1:7">
      <c r="A643" s="7"/>
      <c r="B643" s="6" t="str">
        <f>IF(A643="","",LOWER(TEXT(A643,"[$-es-ES]mmmm"))&amp;" "&amp;YEAR(A643))</f>
        <v/>
      </c>
      <c r="G643" s="8"/>
    </row>
    <row r="644" spans="1:7">
      <c r="A644" s="7"/>
      <c r="B644" s="6" t="str">
        <f>IF(A644="","",LOWER(TEXT(A644,"[$-es-ES]mmmm"))&amp;" "&amp;YEAR(A644))</f>
        <v/>
      </c>
      <c r="G644" s="8"/>
    </row>
    <row r="645" spans="1:7">
      <c r="A645" s="7"/>
      <c r="B645" s="6" t="str">
        <f>IF(A645="","",LOWER(TEXT(A645,"[$-es-ES]mmmm"))&amp;" "&amp;YEAR(A645))</f>
        <v/>
      </c>
      <c r="G645" s="8"/>
    </row>
    <row r="646" spans="1:7">
      <c r="A646" s="7"/>
      <c r="B646" s="6" t="str">
        <f>IF(A646="","",LOWER(TEXT(A646,"[$-es-ES]mmmm"))&amp;" "&amp;YEAR(A646))</f>
        <v/>
      </c>
      <c r="G646" s="8"/>
    </row>
    <row r="647" spans="1:7">
      <c r="A647" s="7"/>
      <c r="B647" s="6" t="str">
        <f>IF(A647="","",LOWER(TEXT(A647,"[$-es-ES]mmmm"))&amp;" "&amp;YEAR(A647))</f>
        <v/>
      </c>
      <c r="G647" s="8"/>
    </row>
    <row r="648" spans="1:7">
      <c r="A648" s="7"/>
      <c r="B648" s="6" t="str">
        <f>IF(A648="","",LOWER(TEXT(A648,"[$-es-ES]mmmm"))&amp;" "&amp;YEAR(A648))</f>
        <v/>
      </c>
      <c r="G648" s="8"/>
    </row>
    <row r="649" spans="1:7">
      <c r="A649" s="7"/>
      <c r="B649" s="6" t="str">
        <f>IF(A649="","",LOWER(TEXT(A649,"[$-es-ES]mmmm"))&amp;" "&amp;YEAR(A649))</f>
        <v/>
      </c>
      <c r="G649" s="8"/>
    </row>
    <row r="650" spans="1:7">
      <c r="A650" s="7"/>
      <c r="B650" s="6" t="str">
        <f>IF(A650="","",LOWER(TEXT(A650,"[$-es-ES]mmmm"))&amp;" "&amp;YEAR(A650))</f>
        <v/>
      </c>
      <c r="G650" s="8"/>
    </row>
    <row r="651" spans="1:7">
      <c r="A651" s="7"/>
      <c r="B651" s="6" t="str">
        <f>IF(A651="","",LOWER(TEXT(A651,"[$-es-ES]mmmm"))&amp;" "&amp;YEAR(A651))</f>
        <v/>
      </c>
      <c r="G651" s="8"/>
    </row>
    <row r="652" spans="1:7">
      <c r="A652" s="7"/>
      <c r="B652" s="6" t="str">
        <f>IF(A652="","",LOWER(TEXT(A652,"[$-es-ES]mmmm"))&amp;" "&amp;YEAR(A652))</f>
        <v/>
      </c>
      <c r="G652" s="8"/>
    </row>
    <row r="653" spans="1:7">
      <c r="A653" s="7"/>
      <c r="B653" s="6" t="str">
        <f>IF(A653="","",LOWER(TEXT(A653,"[$-es-ES]mmmm"))&amp;" "&amp;YEAR(A653))</f>
        <v/>
      </c>
      <c r="G653" s="8"/>
    </row>
    <row r="654" spans="1:7">
      <c r="A654" s="7"/>
      <c r="B654" s="6" t="str">
        <f>IF(A654="","",LOWER(TEXT(A654,"[$-es-ES]mmmm"))&amp;" "&amp;YEAR(A654))</f>
        <v/>
      </c>
      <c r="G654" s="8"/>
    </row>
    <row r="655" spans="1:7">
      <c r="A655" s="7"/>
      <c r="B655" s="6" t="str">
        <f>IF(A655="","",LOWER(TEXT(A655,"[$-es-ES]mmmm"))&amp;" "&amp;YEAR(A655))</f>
        <v/>
      </c>
      <c r="G655" s="8"/>
    </row>
    <row r="656" spans="1:7">
      <c r="A656" s="7"/>
      <c r="B656" s="6" t="str">
        <f>IF(A656="","",LOWER(TEXT(A656,"[$-es-ES]mmmm"))&amp;" "&amp;YEAR(A656))</f>
        <v/>
      </c>
      <c r="G656" s="8"/>
    </row>
    <row r="657" spans="1:7">
      <c r="A657" s="7"/>
      <c r="B657" s="6" t="str">
        <f>IF(A657="","",LOWER(TEXT(A657,"[$-es-ES]mmmm"))&amp;" "&amp;YEAR(A657))</f>
        <v/>
      </c>
      <c r="G657" s="8"/>
    </row>
    <row r="658" spans="1:7">
      <c r="A658" s="7"/>
      <c r="B658" s="6" t="str">
        <f>IF(A658="","",LOWER(TEXT(A658,"[$-es-ES]mmmm"))&amp;" "&amp;YEAR(A658))</f>
        <v/>
      </c>
      <c r="G658" s="8"/>
    </row>
    <row r="659" spans="1:7">
      <c r="A659" s="7"/>
      <c r="B659" s="6" t="str">
        <f>IF(A659="","",LOWER(TEXT(A659,"[$-es-ES]mmmm"))&amp;" "&amp;YEAR(A659))</f>
        <v/>
      </c>
      <c r="G659" s="8"/>
    </row>
    <row r="660" spans="1:7">
      <c r="A660" s="7"/>
      <c r="B660" s="6" t="str">
        <f>IF(A660="","",LOWER(TEXT(A660,"[$-es-ES]mmmm"))&amp;" "&amp;YEAR(A660))</f>
        <v/>
      </c>
      <c r="G660" s="8"/>
    </row>
    <row r="661" spans="1:7">
      <c r="A661" s="7"/>
      <c r="B661" s="6" t="str">
        <f>IF(A661="","",LOWER(TEXT(A661,"[$-es-ES]mmmm"))&amp;" "&amp;YEAR(A661))</f>
        <v/>
      </c>
      <c r="G661" s="8"/>
    </row>
    <row r="662" spans="1:7">
      <c r="A662" s="7"/>
      <c r="B662" s="6" t="str">
        <f>IF(A662="","",LOWER(TEXT(A662,"[$-es-ES]mmmm"))&amp;" "&amp;YEAR(A662))</f>
        <v/>
      </c>
      <c r="G662" s="8"/>
    </row>
    <row r="663" spans="1:7">
      <c r="A663" s="7"/>
      <c r="B663" s="6" t="str">
        <f>IF(A663="","",LOWER(TEXT(A663,"[$-es-ES]mmmm"))&amp;" "&amp;YEAR(A663))</f>
        <v/>
      </c>
      <c r="G663" s="8"/>
    </row>
    <row r="664" spans="1:7">
      <c r="A664" s="7"/>
      <c r="B664" s="6" t="str">
        <f>IF(A664="","",LOWER(TEXT(A664,"[$-es-ES]mmmm"))&amp;" "&amp;YEAR(A664))</f>
        <v/>
      </c>
      <c r="G664" s="8"/>
    </row>
    <row r="665" spans="1:7">
      <c r="A665" s="7"/>
      <c r="B665" s="6" t="str">
        <f>IF(A665="","",LOWER(TEXT(A665,"[$-es-ES]mmmm"))&amp;" "&amp;YEAR(A665))</f>
        <v/>
      </c>
      <c r="G665" s="8"/>
    </row>
    <row r="666" spans="1:7">
      <c r="A666" s="7"/>
      <c r="B666" s="6" t="str">
        <f>IF(A666="","",LOWER(TEXT(A666,"[$-es-ES]mmmm"))&amp;" "&amp;YEAR(A666))</f>
        <v/>
      </c>
      <c r="G666" s="8"/>
    </row>
    <row r="667" spans="1:7">
      <c r="A667" s="7"/>
      <c r="B667" s="6" t="str">
        <f>IF(A667="","",LOWER(TEXT(A667,"[$-es-ES]mmmm"))&amp;" "&amp;YEAR(A667))</f>
        <v/>
      </c>
      <c r="G667" s="8"/>
    </row>
    <row r="668" spans="1:7">
      <c r="A668" s="7"/>
      <c r="B668" s="6" t="str">
        <f>IF(A668="","",LOWER(TEXT(A668,"[$-es-ES]mmmm"))&amp;" "&amp;YEAR(A668))</f>
        <v/>
      </c>
      <c r="G668" s="8"/>
    </row>
    <row r="669" spans="1:7">
      <c r="A669" s="7"/>
      <c r="B669" s="6" t="str">
        <f>IF(A669="","",LOWER(TEXT(A669,"[$-es-ES]mmmm"))&amp;" "&amp;YEAR(A669))</f>
        <v/>
      </c>
      <c r="G669" s="8"/>
    </row>
    <row r="670" spans="1:7">
      <c r="A670" s="7"/>
      <c r="B670" s="6" t="str">
        <f>IF(A670="","",LOWER(TEXT(A670,"[$-es-ES]mmmm"))&amp;" "&amp;YEAR(A670))</f>
        <v/>
      </c>
      <c r="G670" s="8"/>
    </row>
    <row r="671" spans="1:7">
      <c r="A671" s="7"/>
      <c r="B671" s="6" t="str">
        <f>IF(A671="","",LOWER(TEXT(A671,"[$-es-ES]mmmm"))&amp;" "&amp;YEAR(A671))</f>
        <v/>
      </c>
      <c r="G671" s="8"/>
    </row>
    <row r="672" spans="1:7">
      <c r="A672" s="7"/>
      <c r="B672" s="6" t="str">
        <f>IF(A672="","",LOWER(TEXT(A672,"[$-es-ES]mmmm"))&amp;" "&amp;YEAR(A672))</f>
        <v/>
      </c>
      <c r="G672" s="8"/>
    </row>
    <row r="673" spans="1:7">
      <c r="A673" s="7"/>
      <c r="B673" s="6" t="str">
        <f>IF(A673="","",LOWER(TEXT(A673,"[$-es-ES]mmmm"))&amp;" "&amp;YEAR(A673))</f>
        <v/>
      </c>
      <c r="G673" s="8"/>
    </row>
    <row r="674" spans="1:7">
      <c r="A674" s="7"/>
      <c r="B674" s="6" t="str">
        <f>IF(A674="","",LOWER(TEXT(A674,"[$-es-ES]mmmm"))&amp;" "&amp;YEAR(A674))</f>
        <v/>
      </c>
      <c r="G674" s="8"/>
    </row>
    <row r="675" spans="1:7">
      <c r="A675" s="7"/>
      <c r="B675" s="6" t="str">
        <f>IF(A675="","",LOWER(TEXT(A675,"[$-es-ES]mmmm"))&amp;" "&amp;YEAR(A675))</f>
        <v/>
      </c>
      <c r="G675" s="8"/>
    </row>
    <row r="676" spans="1:7">
      <c r="A676" s="7"/>
      <c r="B676" s="6" t="str">
        <f>IF(A676="","",LOWER(TEXT(A676,"[$-es-ES]mmmm"))&amp;" "&amp;YEAR(A676))</f>
        <v/>
      </c>
      <c r="G676" s="8"/>
    </row>
    <row r="677" spans="1:7">
      <c r="A677" s="7"/>
      <c r="B677" s="6" t="str">
        <f>IF(A677="","",LOWER(TEXT(A677,"[$-es-ES]mmmm"))&amp;" "&amp;YEAR(A677))</f>
        <v/>
      </c>
      <c r="G677" s="8"/>
    </row>
    <row r="678" spans="1:7">
      <c r="A678" s="7"/>
      <c r="B678" s="6" t="str">
        <f>IF(A678="","",LOWER(TEXT(A678,"[$-es-ES]mmmm"))&amp;" "&amp;YEAR(A678))</f>
        <v/>
      </c>
      <c r="G678" s="8"/>
    </row>
    <row r="679" spans="1:7">
      <c r="A679" s="7"/>
      <c r="B679" s="6" t="str">
        <f>IF(A679="","",LOWER(TEXT(A679,"[$-es-ES]mmmm"))&amp;" "&amp;YEAR(A679))</f>
        <v/>
      </c>
      <c r="G679" s="8"/>
    </row>
    <row r="680" spans="1:7">
      <c r="A680" s="7"/>
      <c r="B680" s="6" t="str">
        <f>IF(A680="","",LOWER(TEXT(A680,"[$-es-ES]mmmm"))&amp;" "&amp;YEAR(A680))</f>
        <v/>
      </c>
      <c r="G680" s="8"/>
    </row>
    <row r="681" spans="1:7">
      <c r="A681" s="7"/>
      <c r="B681" s="6" t="str">
        <f>IF(A681="","",LOWER(TEXT(A681,"[$-es-ES]mmmm"))&amp;" "&amp;YEAR(A681))</f>
        <v/>
      </c>
      <c r="G681" s="8"/>
    </row>
    <row r="682" spans="1:7">
      <c r="A682" s="7"/>
      <c r="B682" s="6" t="str">
        <f>IF(A682="","",LOWER(TEXT(A682,"[$-es-ES]mmmm"))&amp;" "&amp;YEAR(A682))</f>
        <v/>
      </c>
      <c r="G682" s="8"/>
    </row>
    <row r="683" spans="1:7">
      <c r="A683" s="7"/>
      <c r="B683" s="6" t="str">
        <f>IF(A683="","",LOWER(TEXT(A683,"[$-es-ES]mmmm"))&amp;" "&amp;YEAR(A683))</f>
        <v/>
      </c>
      <c r="G683" s="8"/>
    </row>
    <row r="684" spans="1:7">
      <c r="A684" s="7"/>
      <c r="B684" s="6" t="str">
        <f>IF(A684="","",LOWER(TEXT(A684,"[$-es-ES]mmmm"))&amp;" "&amp;YEAR(A684))</f>
        <v/>
      </c>
      <c r="G684" s="8"/>
    </row>
    <row r="685" spans="1:7">
      <c r="A685" s="7"/>
      <c r="B685" s="6" t="str">
        <f>IF(A685="","",LOWER(TEXT(A685,"[$-es-ES]mmmm"))&amp;" "&amp;YEAR(A685))</f>
        <v/>
      </c>
      <c r="G685" s="8"/>
    </row>
    <row r="686" spans="1:7">
      <c r="A686" s="7"/>
      <c r="B686" s="6" t="str">
        <f>IF(A686="","",LOWER(TEXT(A686,"[$-es-ES]mmmm"))&amp;" "&amp;YEAR(A686))</f>
        <v/>
      </c>
      <c r="G686" s="8"/>
    </row>
    <row r="687" spans="1:7">
      <c r="A687" s="7"/>
      <c r="B687" s="6" t="str">
        <f>IF(A687="","",LOWER(TEXT(A687,"[$-es-ES]mmmm"))&amp;" "&amp;YEAR(A687))</f>
        <v/>
      </c>
      <c r="G687" s="8"/>
    </row>
    <row r="688" spans="1:7">
      <c r="A688" s="7"/>
      <c r="B688" s="6" t="str">
        <f>IF(A688="","",LOWER(TEXT(A688,"[$-es-ES]mmmm"))&amp;" "&amp;YEAR(A688))</f>
        <v/>
      </c>
      <c r="G688" s="8"/>
    </row>
    <row r="689" spans="1:7">
      <c r="A689" s="7"/>
      <c r="B689" s="6" t="str">
        <f>IF(A689="","",LOWER(TEXT(A689,"[$-es-ES]mmmm"))&amp;" "&amp;YEAR(A689))</f>
        <v/>
      </c>
      <c r="G689" s="8"/>
    </row>
    <row r="690" spans="1:7">
      <c r="A690" s="7"/>
      <c r="B690" s="6" t="str">
        <f>IF(A690="","",LOWER(TEXT(A690,"[$-es-ES]mmmm"))&amp;" "&amp;YEAR(A690))</f>
        <v/>
      </c>
      <c r="G690" s="8"/>
    </row>
    <row r="691" spans="1:7">
      <c r="A691" s="7"/>
      <c r="B691" s="6" t="str">
        <f>IF(A691="","",LOWER(TEXT(A691,"[$-es-ES]mmmm"))&amp;" "&amp;YEAR(A691))</f>
        <v/>
      </c>
      <c r="G691" s="8"/>
    </row>
    <row r="692" spans="1:7">
      <c r="A692" s="7"/>
      <c r="B692" s="6" t="str">
        <f>IF(A692="","",LOWER(TEXT(A692,"[$-es-ES]mmmm"))&amp;" "&amp;YEAR(A692))</f>
        <v/>
      </c>
      <c r="G692" s="8"/>
    </row>
    <row r="693" spans="1:7">
      <c r="A693" s="7"/>
      <c r="B693" s="6" t="str">
        <f>IF(A693="","",LOWER(TEXT(A693,"[$-es-ES]mmmm"))&amp;" "&amp;YEAR(A693))</f>
        <v/>
      </c>
      <c r="G693" s="8"/>
    </row>
    <row r="694" spans="1:7">
      <c r="A694" s="7"/>
      <c r="B694" s="6" t="str">
        <f>IF(A694="","",LOWER(TEXT(A694,"[$-es-ES]mmmm"))&amp;" "&amp;YEAR(A694))</f>
        <v/>
      </c>
      <c r="G694" s="8"/>
    </row>
    <row r="695" spans="1:7">
      <c r="A695" s="7"/>
      <c r="B695" s="6" t="str">
        <f>IF(A695="","",LOWER(TEXT(A695,"[$-es-ES]mmmm"))&amp;" "&amp;YEAR(A695))</f>
        <v/>
      </c>
      <c r="G695" s="8"/>
    </row>
    <row r="696" spans="1:7">
      <c r="A696" s="7"/>
      <c r="B696" s="6" t="str">
        <f>IF(A696="","",LOWER(TEXT(A696,"[$-es-ES]mmmm"))&amp;" "&amp;YEAR(A696))</f>
        <v/>
      </c>
      <c r="G696" s="8"/>
    </row>
    <row r="697" spans="1:7">
      <c r="A697" s="7"/>
      <c r="B697" s="6" t="str">
        <f>IF(A697="","",LOWER(TEXT(A697,"[$-es-ES]mmmm"))&amp;" "&amp;YEAR(A697))</f>
        <v/>
      </c>
      <c r="G697" s="8"/>
    </row>
    <row r="698" spans="1:7">
      <c r="A698" s="7"/>
      <c r="B698" s="6" t="str">
        <f>IF(A698="","",LOWER(TEXT(A698,"[$-es-ES]mmmm"))&amp;" "&amp;YEAR(A698))</f>
        <v/>
      </c>
      <c r="G698" s="8"/>
    </row>
    <row r="699" spans="1:7">
      <c r="A699" s="7"/>
      <c r="B699" s="6" t="str">
        <f>IF(A699="","",LOWER(TEXT(A699,"[$-es-ES]mmmm"))&amp;" "&amp;YEAR(A699))</f>
        <v/>
      </c>
      <c r="G699" s="8"/>
    </row>
    <row r="700" spans="1:7">
      <c r="A700" s="7"/>
      <c r="B700" s="6" t="str">
        <f>IF(A700="","",LOWER(TEXT(A700,"[$-es-ES]mmmm"))&amp;" "&amp;YEAR(A700))</f>
        <v/>
      </c>
      <c r="G700" s="8"/>
    </row>
    <row r="701" spans="1:7">
      <c r="A701" s="7"/>
      <c r="B701" s="6" t="str">
        <f>IF(A701="","",LOWER(TEXT(A701,"[$-es-ES]mmmm"))&amp;" "&amp;YEAR(A701))</f>
        <v/>
      </c>
      <c r="G701" s="8"/>
    </row>
    <row r="702" spans="1:7">
      <c r="A702" s="7"/>
      <c r="B702" s="6" t="str">
        <f>IF(A702="","",LOWER(TEXT(A702,"[$-es-ES]mmmm"))&amp;" "&amp;YEAR(A702))</f>
        <v/>
      </c>
      <c r="G702" s="8"/>
    </row>
    <row r="703" spans="1:7">
      <c r="A703" s="7"/>
      <c r="B703" s="6" t="str">
        <f>IF(A703="","",LOWER(TEXT(A703,"[$-es-ES]mmmm"))&amp;" "&amp;YEAR(A703))</f>
        <v/>
      </c>
      <c r="G703" s="8"/>
    </row>
    <row r="704" spans="1:7">
      <c r="A704" s="7"/>
      <c r="B704" s="6" t="str">
        <f>IF(A704="","",LOWER(TEXT(A704,"[$-es-ES]mmmm"))&amp;" "&amp;YEAR(A704))</f>
        <v/>
      </c>
      <c r="G704" s="8"/>
    </row>
    <row r="705" spans="1:7">
      <c r="A705" s="7"/>
      <c r="B705" s="6" t="str">
        <f>IF(A705="","",LOWER(TEXT(A705,"[$-es-ES]mmmm"))&amp;" "&amp;YEAR(A705))</f>
        <v/>
      </c>
      <c r="G705" s="8"/>
    </row>
    <row r="706" spans="1:7">
      <c r="A706" s="7"/>
      <c r="B706" s="6" t="str">
        <f>IF(A706="","",LOWER(TEXT(A706,"[$-es-ES]mmmm"))&amp;" "&amp;YEAR(A706))</f>
        <v/>
      </c>
      <c r="G706" s="8"/>
    </row>
    <row r="707" spans="1:7">
      <c r="A707" s="7"/>
      <c r="B707" s="6" t="str">
        <f>IF(A707="","",LOWER(TEXT(A707,"[$-es-ES]mmmm"))&amp;" "&amp;YEAR(A707))</f>
        <v/>
      </c>
      <c r="G707" s="8"/>
    </row>
    <row r="708" spans="1:7">
      <c r="A708" s="7"/>
      <c r="B708" s="6" t="str">
        <f>IF(A708="","",LOWER(TEXT(A708,"[$-es-ES]mmmm"))&amp;" "&amp;YEAR(A708))</f>
        <v/>
      </c>
      <c r="G708" s="8"/>
    </row>
    <row r="709" spans="1:7">
      <c r="A709" s="7"/>
      <c r="B709" s="6" t="str">
        <f>IF(A709="","",LOWER(TEXT(A709,"[$-es-ES]mmmm"))&amp;" "&amp;YEAR(A709))</f>
        <v/>
      </c>
      <c r="G709" s="8"/>
    </row>
    <row r="710" spans="1:7">
      <c r="A710" s="7"/>
      <c r="B710" s="6" t="str">
        <f>IF(A710="","",LOWER(TEXT(A710,"[$-es-ES]mmmm"))&amp;" "&amp;YEAR(A710))</f>
        <v/>
      </c>
      <c r="G710" s="8"/>
    </row>
    <row r="711" spans="1:7">
      <c r="A711" s="7"/>
      <c r="B711" s="6" t="str">
        <f>IF(A711="","",LOWER(TEXT(A711,"[$-es-ES]mmmm"))&amp;" "&amp;YEAR(A711))</f>
        <v/>
      </c>
      <c r="G711" s="8"/>
    </row>
    <row r="712" spans="1:7">
      <c r="A712" s="7"/>
      <c r="B712" s="6" t="str">
        <f>IF(A712="","",LOWER(TEXT(A712,"[$-es-ES]mmmm"))&amp;" "&amp;YEAR(A712))</f>
        <v/>
      </c>
      <c r="G712" s="8"/>
    </row>
    <row r="713" spans="1:7">
      <c r="A713" s="7"/>
      <c r="B713" s="6" t="str">
        <f>IF(A713="","",LOWER(TEXT(A713,"[$-es-ES]mmmm"))&amp;" "&amp;YEAR(A713))</f>
        <v/>
      </c>
      <c r="G713" s="8"/>
    </row>
    <row r="714" spans="1:7">
      <c r="A714" s="7"/>
      <c r="B714" s="6" t="str">
        <f>IF(A714="","",LOWER(TEXT(A714,"[$-es-ES]mmmm"))&amp;" "&amp;YEAR(A714))</f>
        <v/>
      </c>
      <c r="G714" s="8"/>
    </row>
    <row r="715" spans="1:7">
      <c r="A715" s="7"/>
      <c r="B715" s="6" t="str">
        <f>IF(A715="","",LOWER(TEXT(A715,"[$-es-ES]mmmm"))&amp;" "&amp;YEAR(A715))</f>
        <v/>
      </c>
      <c r="G715" s="8"/>
    </row>
    <row r="716" spans="1:7">
      <c r="A716" s="7"/>
      <c r="B716" s="6" t="str">
        <f>IF(A716="","",LOWER(TEXT(A716,"[$-es-ES]mmmm"))&amp;" "&amp;YEAR(A716))</f>
        <v/>
      </c>
      <c r="G716" s="8"/>
    </row>
    <row r="717" spans="1:7">
      <c r="A717" s="7"/>
      <c r="B717" s="6" t="str">
        <f>IF(A717="","",LOWER(TEXT(A717,"[$-es-ES]mmmm"))&amp;" "&amp;YEAR(A717))</f>
        <v/>
      </c>
      <c r="G717" s="8"/>
    </row>
    <row r="718" spans="1:7">
      <c r="A718" s="7"/>
      <c r="B718" s="6" t="str">
        <f>IF(A718="","",LOWER(TEXT(A718,"[$-es-ES]mmmm"))&amp;" "&amp;YEAR(A718))</f>
        <v/>
      </c>
      <c r="G718" s="8"/>
    </row>
    <row r="719" spans="1:7">
      <c r="A719" s="7"/>
      <c r="B719" s="6" t="str">
        <f>IF(A719="","",LOWER(TEXT(A719,"[$-es-ES]mmmm"))&amp;" "&amp;YEAR(A719))</f>
        <v/>
      </c>
      <c r="G719" s="8"/>
    </row>
    <row r="720" spans="1:7">
      <c r="A720" s="7"/>
      <c r="B720" s="6" t="str">
        <f>IF(A720="","",LOWER(TEXT(A720,"[$-es-ES]mmmm"))&amp;" "&amp;YEAR(A720))</f>
        <v/>
      </c>
      <c r="G720" s="8"/>
    </row>
    <row r="721" spans="1:7">
      <c r="A721" s="7"/>
      <c r="B721" s="6" t="str">
        <f>IF(A721="","",LOWER(TEXT(A721,"[$-es-ES]mmmm"))&amp;" "&amp;YEAR(A721))</f>
        <v/>
      </c>
      <c r="G721" s="8"/>
    </row>
    <row r="722" spans="1:7">
      <c r="A722" s="7"/>
      <c r="B722" s="6" t="str">
        <f>IF(A722="","",LOWER(TEXT(A722,"[$-es-ES]mmmm"))&amp;" "&amp;YEAR(A722))</f>
        <v/>
      </c>
      <c r="G722" s="8"/>
    </row>
    <row r="723" spans="1:7">
      <c r="A723" s="7"/>
      <c r="B723" s="6" t="str">
        <f>IF(A723="","",LOWER(TEXT(A723,"[$-es-ES]mmmm"))&amp;" "&amp;YEAR(A723))</f>
        <v/>
      </c>
      <c r="G723" s="8"/>
    </row>
    <row r="724" spans="1:7">
      <c r="A724" s="7"/>
      <c r="B724" s="6" t="str">
        <f>IF(A724="","",LOWER(TEXT(A724,"[$-es-ES]mmmm"))&amp;" "&amp;YEAR(A724))</f>
        <v/>
      </c>
      <c r="G724" s="8"/>
    </row>
    <row r="725" spans="1:7">
      <c r="A725" s="7"/>
      <c r="B725" s="6" t="str">
        <f>IF(A725="","",LOWER(TEXT(A725,"[$-es-ES]mmmm"))&amp;" "&amp;YEAR(A725))</f>
        <v/>
      </c>
      <c r="G725" s="8"/>
    </row>
    <row r="726" spans="1:7">
      <c r="A726" s="7"/>
      <c r="B726" s="6" t="str">
        <f>IF(A726="","",LOWER(TEXT(A726,"[$-es-ES]mmmm"))&amp;" "&amp;YEAR(A726))</f>
        <v/>
      </c>
      <c r="G726" s="8"/>
    </row>
    <row r="727" spans="1:7">
      <c r="A727" s="7"/>
      <c r="B727" s="6" t="str">
        <f>IF(A727="","",LOWER(TEXT(A727,"[$-es-ES]mmmm"))&amp;" "&amp;YEAR(A727))</f>
        <v/>
      </c>
      <c r="G727" s="8"/>
    </row>
    <row r="728" spans="1:7">
      <c r="A728" s="7"/>
      <c r="B728" s="6" t="str">
        <f>IF(A728="","",LOWER(TEXT(A728,"[$-es-ES]mmmm"))&amp;" "&amp;YEAR(A728))</f>
        <v/>
      </c>
      <c r="G728" s="8"/>
    </row>
    <row r="729" spans="1:7">
      <c r="A729" s="7"/>
      <c r="B729" s="6" t="str">
        <f>IF(A729="","",LOWER(TEXT(A729,"[$-es-ES]mmmm"))&amp;" "&amp;YEAR(A729))</f>
        <v/>
      </c>
      <c r="G729" s="8"/>
    </row>
    <row r="730" spans="1:7">
      <c r="A730" s="7"/>
      <c r="B730" s="6" t="str">
        <f>IF(A730="","",LOWER(TEXT(A730,"[$-es-ES]mmmm"))&amp;" "&amp;YEAR(A730))</f>
        <v/>
      </c>
      <c r="G730" s="8"/>
    </row>
    <row r="731" spans="1:7">
      <c r="A731" s="7"/>
      <c r="B731" s="6" t="str">
        <f>IF(A731="","",LOWER(TEXT(A731,"[$-es-ES]mmmm"))&amp;" "&amp;YEAR(A731))</f>
        <v/>
      </c>
      <c r="G731" s="8"/>
    </row>
    <row r="732" spans="1:7">
      <c r="A732" s="7"/>
      <c r="B732" s="6" t="str">
        <f>IF(A732="","",LOWER(TEXT(A732,"[$-es-ES]mmmm"))&amp;" "&amp;YEAR(A732))</f>
        <v/>
      </c>
      <c r="G732" s="8"/>
    </row>
    <row r="733" spans="1:7">
      <c r="A733" s="7"/>
      <c r="B733" s="6" t="str">
        <f>IF(A733="","",LOWER(TEXT(A733,"[$-es-ES]mmmm"))&amp;" "&amp;YEAR(A733))</f>
        <v/>
      </c>
      <c r="G733" s="8"/>
    </row>
    <row r="734" spans="1:7">
      <c r="A734" s="7"/>
      <c r="B734" s="6" t="str">
        <f>IF(A734="","",LOWER(TEXT(A734,"[$-es-ES]mmmm"))&amp;" "&amp;YEAR(A734))</f>
        <v/>
      </c>
      <c r="G734" s="8"/>
    </row>
    <row r="735" spans="1:7">
      <c r="A735" s="7"/>
      <c r="B735" s="6" t="str">
        <f>IF(A735="","",LOWER(TEXT(A735,"[$-es-ES]mmmm"))&amp;" "&amp;YEAR(A735))</f>
        <v/>
      </c>
      <c r="G735" s="8"/>
    </row>
    <row r="736" spans="1:7">
      <c r="A736" s="7"/>
      <c r="B736" s="6" t="str">
        <f>IF(A736="","",LOWER(TEXT(A736,"[$-es-ES]mmmm"))&amp;" "&amp;YEAR(A736))</f>
        <v/>
      </c>
      <c r="G736" s="8"/>
    </row>
    <row r="737" spans="1:7">
      <c r="A737" s="7"/>
      <c r="B737" s="6" t="str">
        <f>IF(A737="","",LOWER(TEXT(A737,"[$-es-ES]mmmm"))&amp;" "&amp;YEAR(A737))</f>
        <v/>
      </c>
      <c r="G737" s="8"/>
    </row>
    <row r="738" spans="1:7">
      <c r="A738" s="7"/>
      <c r="B738" s="6" t="str">
        <f>IF(A738="","",LOWER(TEXT(A738,"[$-es-ES]mmmm"))&amp;" "&amp;YEAR(A738))</f>
        <v/>
      </c>
      <c r="G738" s="8"/>
    </row>
    <row r="739" spans="1:7">
      <c r="A739" s="7"/>
      <c r="B739" s="6" t="str">
        <f>IF(A739="","",LOWER(TEXT(A739,"[$-es-ES]mmmm"))&amp;" "&amp;YEAR(A739))</f>
        <v/>
      </c>
      <c r="G739" s="8"/>
    </row>
    <row r="740" spans="1:7">
      <c r="A740" s="7"/>
      <c r="B740" s="6" t="str">
        <f>IF(A740="","",LOWER(TEXT(A740,"[$-es-ES]mmmm"))&amp;" "&amp;YEAR(A740))</f>
        <v/>
      </c>
      <c r="G740" s="8"/>
    </row>
    <row r="741" spans="1:7">
      <c r="A741" s="7"/>
      <c r="B741" s="6" t="str">
        <f>IF(A741="","",LOWER(TEXT(A741,"[$-es-ES]mmmm"))&amp;" "&amp;YEAR(A741))</f>
        <v/>
      </c>
      <c r="G741" s="8"/>
    </row>
    <row r="742" spans="1:7">
      <c r="A742" s="7"/>
      <c r="B742" s="6" t="str">
        <f>IF(A742="","",LOWER(TEXT(A742,"[$-es-ES]mmmm"))&amp;" "&amp;YEAR(A742))</f>
        <v/>
      </c>
      <c r="G742" s="8"/>
    </row>
    <row r="743" spans="1:7">
      <c r="A743" s="7"/>
      <c r="B743" s="6" t="str">
        <f>IF(A743="","",LOWER(TEXT(A743,"[$-es-ES]mmmm"))&amp;" "&amp;YEAR(A743))</f>
        <v/>
      </c>
      <c r="G743" s="8"/>
    </row>
    <row r="744" spans="1:7">
      <c r="A744" s="7"/>
      <c r="B744" s="6" t="str">
        <f>IF(A744="","",LOWER(TEXT(A744,"[$-es-ES]mmmm"))&amp;" "&amp;YEAR(A744))</f>
        <v/>
      </c>
      <c r="G744" s="8"/>
    </row>
    <row r="745" spans="1:7">
      <c r="A745" s="7"/>
      <c r="B745" s="6" t="str">
        <f>IF(A745="","",LOWER(TEXT(A745,"[$-es-ES]mmmm"))&amp;" "&amp;YEAR(A745))</f>
        <v/>
      </c>
      <c r="G745" s="8"/>
    </row>
    <row r="746" spans="1:7">
      <c r="A746" s="7"/>
      <c r="B746" s="6" t="str">
        <f>IF(A746="","",LOWER(TEXT(A746,"[$-es-ES]mmmm"))&amp;" "&amp;YEAR(A746))</f>
        <v/>
      </c>
      <c r="G746" s="8"/>
    </row>
    <row r="747" spans="1:7">
      <c r="A747" s="7"/>
      <c r="B747" s="6" t="str">
        <f>IF(A747="","",LOWER(TEXT(A747,"[$-es-ES]mmmm"))&amp;" "&amp;YEAR(A747))</f>
        <v/>
      </c>
      <c r="G747" s="8"/>
    </row>
    <row r="748" spans="1:7">
      <c r="A748" s="7"/>
      <c r="B748" s="6" t="str">
        <f>IF(A748="","",LOWER(TEXT(A748,"[$-es-ES]mmmm"))&amp;" "&amp;YEAR(A748))</f>
        <v/>
      </c>
      <c r="G748" s="8"/>
    </row>
    <row r="749" spans="1:7">
      <c r="A749" s="7"/>
      <c r="B749" s="6" t="str">
        <f>IF(A749="","",LOWER(TEXT(A749,"[$-es-ES]mmmm"))&amp;" "&amp;YEAR(A749))</f>
        <v/>
      </c>
      <c r="G749" s="8"/>
    </row>
    <row r="750" spans="1:7">
      <c r="A750" s="7"/>
      <c r="B750" s="6" t="str">
        <f>IF(A750="","",LOWER(TEXT(A750,"[$-es-ES]mmmm"))&amp;" "&amp;YEAR(A750))</f>
        <v/>
      </c>
      <c r="G750" s="8"/>
    </row>
    <row r="751" spans="1:7">
      <c r="A751" s="7"/>
      <c r="B751" s="6" t="str">
        <f>IF(A751="","",LOWER(TEXT(A751,"[$-es-ES]mmmm"))&amp;" "&amp;YEAR(A751))</f>
        <v/>
      </c>
      <c r="G751" s="8"/>
    </row>
    <row r="752" spans="1:7">
      <c r="A752" s="7"/>
      <c r="B752" s="6" t="str">
        <f>IF(A752="","",LOWER(TEXT(A752,"[$-es-ES]mmmm"))&amp;" "&amp;YEAR(A752))</f>
        <v/>
      </c>
      <c r="G752" s="8"/>
    </row>
    <row r="753" spans="1:7">
      <c r="A753" s="7"/>
      <c r="B753" s="6" t="str">
        <f>IF(A753="","",LOWER(TEXT(A753,"[$-es-ES]mmmm"))&amp;" "&amp;YEAR(A753))</f>
        <v/>
      </c>
      <c r="G753" s="8"/>
    </row>
    <row r="754" spans="1:7">
      <c r="A754" s="7"/>
      <c r="B754" s="6" t="str">
        <f>IF(A754="","",LOWER(TEXT(A754,"[$-es-ES]mmmm"))&amp;" "&amp;YEAR(A754))</f>
        <v/>
      </c>
      <c r="G754" s="8"/>
    </row>
    <row r="755" spans="1:7">
      <c r="A755" s="7"/>
      <c r="B755" s="6" t="str">
        <f>IF(A755="","",LOWER(TEXT(A755,"[$-es-ES]mmmm"))&amp;" "&amp;YEAR(A755))</f>
        <v/>
      </c>
      <c r="G755" s="8"/>
    </row>
    <row r="756" spans="1:7">
      <c r="A756" s="7"/>
      <c r="B756" s="6" t="str">
        <f>IF(A756="","",LOWER(TEXT(A756,"[$-es-ES]mmmm"))&amp;" "&amp;YEAR(A756))</f>
        <v/>
      </c>
      <c r="G756" s="8"/>
    </row>
    <row r="757" spans="1:7">
      <c r="A757" s="7"/>
      <c r="B757" s="6" t="str">
        <f>IF(A757="","",LOWER(TEXT(A757,"[$-es-ES]mmmm"))&amp;" "&amp;YEAR(A757))</f>
        <v/>
      </c>
      <c r="G757" s="8"/>
    </row>
    <row r="758" spans="1:7">
      <c r="A758" s="7"/>
      <c r="B758" s="6" t="str">
        <f>IF(A758="","",LOWER(TEXT(A758,"[$-es-ES]mmmm"))&amp;" "&amp;YEAR(A758))</f>
        <v/>
      </c>
      <c r="G758" s="8"/>
    </row>
    <row r="759" spans="1:7">
      <c r="A759" s="7"/>
      <c r="B759" s="6" t="str">
        <f>IF(A759="","",LOWER(TEXT(A759,"[$-es-ES]mmmm"))&amp;" "&amp;YEAR(A759))</f>
        <v/>
      </c>
      <c r="G759" s="8"/>
    </row>
    <row r="760" spans="1:7">
      <c r="A760" s="7"/>
      <c r="B760" s="6" t="str">
        <f>IF(A760="","",LOWER(TEXT(A760,"[$-es-ES]mmmm"))&amp;" "&amp;YEAR(A760))</f>
        <v/>
      </c>
      <c r="G760" s="8"/>
    </row>
    <row r="761" spans="1:7">
      <c r="A761" s="7"/>
      <c r="B761" s="6" t="str">
        <f>IF(A761="","",LOWER(TEXT(A761,"[$-es-ES]mmmm"))&amp;" "&amp;YEAR(A761))</f>
        <v/>
      </c>
      <c r="G761" s="8"/>
    </row>
    <row r="762" spans="1:7">
      <c r="A762" s="7"/>
      <c r="B762" s="6" t="str">
        <f>IF(A762="","",LOWER(TEXT(A762,"[$-es-ES]mmmm"))&amp;" "&amp;YEAR(A762))</f>
        <v/>
      </c>
      <c r="G762" s="8"/>
    </row>
    <row r="763" spans="1:7">
      <c r="A763" s="7"/>
      <c r="B763" s="6" t="str">
        <f>IF(A763="","",LOWER(TEXT(A763,"[$-es-ES]mmmm"))&amp;" "&amp;YEAR(A763))</f>
        <v/>
      </c>
      <c r="G763" s="8"/>
    </row>
    <row r="764" spans="1:7">
      <c r="A764" s="7"/>
      <c r="B764" s="6" t="str">
        <f>IF(A764="","",LOWER(TEXT(A764,"[$-es-ES]mmmm"))&amp;" "&amp;YEAR(A764))</f>
        <v/>
      </c>
      <c r="G764" s="8"/>
    </row>
    <row r="765" spans="1:7">
      <c r="A765" s="7"/>
      <c r="B765" s="6" t="str">
        <f>IF(A765="","",LOWER(TEXT(A765,"[$-es-ES]mmmm"))&amp;" "&amp;YEAR(A765))</f>
        <v/>
      </c>
      <c r="G765" s="8"/>
    </row>
    <row r="766" spans="1:7">
      <c r="A766" s="7"/>
      <c r="B766" s="6" t="str">
        <f>IF(A766="","",LOWER(TEXT(A766,"[$-es-ES]mmmm"))&amp;" "&amp;YEAR(A766))</f>
        <v/>
      </c>
      <c r="G766" s="8"/>
    </row>
    <row r="767" spans="1:7">
      <c r="A767" s="7"/>
      <c r="B767" s="6" t="str">
        <f>IF(A767="","",LOWER(TEXT(A767,"[$-es-ES]mmmm"))&amp;" "&amp;YEAR(A767))</f>
        <v/>
      </c>
      <c r="G767" s="8"/>
    </row>
    <row r="768" spans="1:7">
      <c r="A768" s="7"/>
      <c r="B768" s="6" t="str">
        <f>IF(A768="","",LOWER(TEXT(A768,"[$-es-ES]mmmm"))&amp;" "&amp;YEAR(A768))</f>
        <v/>
      </c>
      <c r="G768" s="8"/>
    </row>
    <row r="769" spans="1:7">
      <c r="A769" s="7"/>
      <c r="B769" s="6" t="str">
        <f>IF(A769="","",LOWER(TEXT(A769,"[$-es-ES]mmmm"))&amp;" "&amp;YEAR(A769))</f>
        <v/>
      </c>
      <c r="G769" s="8"/>
    </row>
    <row r="770" spans="1:7">
      <c r="A770" s="7"/>
      <c r="B770" s="6" t="str">
        <f>IF(A770="","",LOWER(TEXT(A770,"[$-es-ES]mmmm"))&amp;" "&amp;YEAR(A770))</f>
        <v/>
      </c>
      <c r="G770" s="8"/>
    </row>
    <row r="771" spans="1:7">
      <c r="A771" s="7"/>
      <c r="B771" s="6" t="str">
        <f>IF(A771="","",LOWER(TEXT(A771,"[$-es-ES]mmmm"))&amp;" "&amp;YEAR(A771))</f>
        <v/>
      </c>
      <c r="G771" s="8"/>
    </row>
    <row r="772" spans="1:7">
      <c r="A772" s="7"/>
      <c r="B772" s="6" t="str">
        <f>IF(A772="","",LOWER(TEXT(A772,"[$-es-ES]mmmm"))&amp;" "&amp;YEAR(A772))</f>
        <v/>
      </c>
      <c r="G772" s="8"/>
    </row>
    <row r="773" spans="1:7">
      <c r="A773" s="7"/>
      <c r="B773" s="6" t="str">
        <f>IF(A773="","",LOWER(TEXT(A773,"[$-es-ES]mmmm"))&amp;" "&amp;YEAR(A773))</f>
        <v/>
      </c>
      <c r="G773" s="8"/>
    </row>
    <row r="774" spans="1:7">
      <c r="A774" s="7"/>
      <c r="B774" s="6" t="str">
        <f>IF(A774="","",LOWER(TEXT(A774,"[$-es-ES]mmmm"))&amp;" "&amp;YEAR(A774))</f>
        <v/>
      </c>
      <c r="G774" s="8"/>
    </row>
    <row r="775" spans="1:7">
      <c r="A775" s="7"/>
      <c r="B775" s="6" t="str">
        <f>IF(A775="","",LOWER(TEXT(A775,"[$-es-ES]mmmm"))&amp;" "&amp;YEAR(A775))</f>
        <v/>
      </c>
      <c r="G775" s="8"/>
    </row>
    <row r="776" spans="1:7">
      <c r="A776" s="7"/>
      <c r="B776" s="6" t="str">
        <f>IF(A776="","",LOWER(TEXT(A776,"[$-es-ES]mmmm"))&amp;" "&amp;YEAR(A776))</f>
        <v/>
      </c>
      <c r="G776" s="8"/>
    </row>
    <row r="777" spans="1:7">
      <c r="A777" s="7"/>
      <c r="B777" s="6" t="str">
        <f>IF(A777="","",LOWER(TEXT(A777,"[$-es-ES]mmmm"))&amp;" "&amp;YEAR(A777))</f>
        <v/>
      </c>
      <c r="G777" s="8"/>
    </row>
    <row r="778" spans="1:7">
      <c r="A778" s="7"/>
      <c r="B778" s="6" t="str">
        <f>IF(A778="","",LOWER(TEXT(A778,"[$-es-ES]mmmm"))&amp;" "&amp;YEAR(A778))</f>
        <v/>
      </c>
      <c r="G778" s="8"/>
    </row>
    <row r="779" spans="1:7">
      <c r="A779" s="7"/>
      <c r="B779" s="6" t="str">
        <f>IF(A779="","",LOWER(TEXT(A779,"[$-es-ES]mmmm"))&amp;" "&amp;YEAR(A779))</f>
        <v/>
      </c>
      <c r="G779" s="8"/>
    </row>
    <row r="780" spans="1:7">
      <c r="A780" s="7"/>
      <c r="B780" s="6" t="str">
        <f>IF(A780="","",LOWER(TEXT(A780,"[$-es-ES]mmmm"))&amp;" "&amp;YEAR(A780))</f>
        <v/>
      </c>
      <c r="G780" s="8"/>
    </row>
    <row r="781" spans="1:7">
      <c r="A781" s="7"/>
      <c r="B781" s="6" t="str">
        <f>IF(A781="","",LOWER(TEXT(A781,"[$-es-ES]mmmm"))&amp;" "&amp;YEAR(A781))</f>
        <v/>
      </c>
      <c r="G781" s="8"/>
    </row>
    <row r="782" spans="1:7">
      <c r="A782" s="7"/>
      <c r="B782" s="6" t="str">
        <f>IF(A782="","",LOWER(TEXT(A782,"[$-es-ES]mmmm"))&amp;" "&amp;YEAR(A782))</f>
        <v/>
      </c>
      <c r="G782" s="8"/>
    </row>
    <row r="783" spans="1:7">
      <c r="A783" s="7"/>
      <c r="B783" s="6" t="str">
        <f>IF(A783="","",LOWER(TEXT(A783,"[$-es-ES]mmmm"))&amp;" "&amp;YEAR(A783))</f>
        <v/>
      </c>
      <c r="G783" s="8"/>
    </row>
    <row r="784" spans="1:7">
      <c r="A784" s="7"/>
      <c r="B784" s="6" t="str">
        <f>IF(A784="","",LOWER(TEXT(A784,"[$-es-ES]mmmm"))&amp;" "&amp;YEAR(A784))</f>
        <v/>
      </c>
      <c r="G784" s="8"/>
    </row>
    <row r="785" spans="1:7">
      <c r="A785" s="7"/>
      <c r="B785" s="6" t="str">
        <f>IF(A785="","",LOWER(TEXT(A785,"[$-es-ES]mmmm"))&amp;" "&amp;YEAR(A785))</f>
        <v/>
      </c>
      <c r="G785" s="8"/>
    </row>
    <row r="786" spans="1:7">
      <c r="A786" s="7"/>
      <c r="B786" s="6" t="str">
        <f>IF(A786="","",LOWER(TEXT(A786,"[$-es-ES]mmmm"))&amp;" "&amp;YEAR(A786))</f>
        <v/>
      </c>
      <c r="G786" s="8"/>
    </row>
    <row r="787" spans="1:7">
      <c r="A787" s="7"/>
      <c r="B787" s="6" t="str">
        <f>IF(A787="","",LOWER(TEXT(A787,"[$-es-ES]mmmm"))&amp;" "&amp;YEAR(A787))</f>
        <v/>
      </c>
      <c r="G787" s="8"/>
    </row>
    <row r="788" spans="1:7">
      <c r="A788" s="7"/>
      <c r="B788" s="6" t="str">
        <f>IF(A788="","",LOWER(TEXT(A788,"[$-es-ES]mmmm"))&amp;" "&amp;YEAR(A788))</f>
        <v/>
      </c>
      <c r="G788" s="8"/>
    </row>
    <row r="789" spans="1:7">
      <c r="A789" s="7"/>
      <c r="B789" s="6" t="str">
        <f>IF(A789="","",LOWER(TEXT(A789,"[$-es-ES]mmmm"))&amp;" "&amp;YEAR(A789))</f>
        <v/>
      </c>
      <c r="G789" s="8"/>
    </row>
    <row r="790" spans="1:7">
      <c r="A790" s="7"/>
      <c r="B790" s="6" t="str">
        <f>IF(A790="","",LOWER(TEXT(A790,"[$-es-ES]mmmm"))&amp;" "&amp;YEAR(A790))</f>
        <v/>
      </c>
      <c r="G790" s="8"/>
    </row>
    <row r="791" spans="1:7">
      <c r="A791" s="7"/>
      <c r="B791" s="6" t="str">
        <f>IF(A791="","",LOWER(TEXT(A791,"[$-es-ES]mmmm"))&amp;" "&amp;YEAR(A791))</f>
        <v/>
      </c>
      <c r="G791" s="8"/>
    </row>
    <row r="792" spans="1:7">
      <c r="A792" s="7"/>
      <c r="B792" s="6" t="str">
        <f>IF(A792="","",LOWER(TEXT(A792,"[$-es-ES]mmmm"))&amp;" "&amp;YEAR(A792))</f>
        <v/>
      </c>
      <c r="G792" s="8"/>
    </row>
    <row r="793" spans="1:7">
      <c r="A793" s="7"/>
      <c r="B793" s="6" t="str">
        <f>IF(A793="","",LOWER(TEXT(A793,"[$-es-ES]mmmm"))&amp;" "&amp;YEAR(A793))</f>
        <v/>
      </c>
      <c r="G793" s="8"/>
    </row>
    <row r="794" spans="1:7">
      <c r="A794" s="7"/>
      <c r="B794" s="6" t="str">
        <f>IF(A794="","",LOWER(TEXT(A794,"[$-es-ES]mmmm"))&amp;" "&amp;YEAR(A794))</f>
        <v/>
      </c>
      <c r="G794" s="8"/>
    </row>
    <row r="795" spans="1:7">
      <c r="A795" s="7"/>
      <c r="B795" s="6" t="str">
        <f>IF(A795="","",LOWER(TEXT(A795,"[$-es-ES]mmmm"))&amp;" "&amp;YEAR(A795))</f>
        <v/>
      </c>
      <c r="G795" s="8"/>
    </row>
    <row r="796" spans="1:7">
      <c r="A796" s="7"/>
      <c r="B796" s="6" t="str">
        <f>IF(A796="","",LOWER(TEXT(A796,"[$-es-ES]mmmm"))&amp;" "&amp;YEAR(A796))</f>
        <v/>
      </c>
      <c r="G796" s="8"/>
    </row>
    <row r="797" spans="1:7">
      <c r="A797" s="7"/>
      <c r="B797" s="6" t="str">
        <f>IF(A797="","",LOWER(TEXT(A797,"[$-es-ES]mmmm"))&amp;" "&amp;YEAR(A797))</f>
        <v/>
      </c>
      <c r="G797" s="8"/>
    </row>
    <row r="798" spans="1:7">
      <c r="A798" s="7"/>
      <c r="B798" s="6" t="str">
        <f>IF(A798="","",LOWER(TEXT(A798,"[$-es-ES]mmmm"))&amp;" "&amp;YEAR(A798))</f>
        <v/>
      </c>
      <c r="G798" s="8"/>
    </row>
    <row r="799" spans="1:7">
      <c r="A799" s="7"/>
      <c r="B799" s="6" t="str">
        <f>IF(A799="","",LOWER(TEXT(A799,"[$-es-ES]mmmm"))&amp;" "&amp;YEAR(A799))</f>
        <v/>
      </c>
      <c r="G799" s="8"/>
    </row>
    <row r="800" spans="1:7">
      <c r="A800" s="7"/>
      <c r="B800" s="6" t="str">
        <f>IF(A800="","",LOWER(TEXT(A800,"[$-es-ES]mmmm"))&amp;" "&amp;YEAR(A800))</f>
        <v/>
      </c>
      <c r="G800" s="8"/>
    </row>
    <row r="801" spans="1:7">
      <c r="A801" s="7"/>
      <c r="B801" s="6" t="str">
        <f>IF(A801="","",LOWER(TEXT(A801,"[$-es-ES]mmmm"))&amp;" "&amp;YEAR(A801))</f>
        <v/>
      </c>
      <c r="G801" s="8"/>
    </row>
    <row r="802" spans="1:7">
      <c r="A802" s="7"/>
      <c r="B802" s="6" t="str">
        <f>IF(A802="","",LOWER(TEXT(A802,"[$-es-ES]mmmm"))&amp;" "&amp;YEAR(A802))</f>
        <v/>
      </c>
      <c r="G802" s="8"/>
    </row>
    <row r="803" spans="1:7">
      <c r="A803" s="7"/>
      <c r="B803" s="6" t="str">
        <f>IF(A803="","",LOWER(TEXT(A803,"[$-es-ES]mmmm"))&amp;" "&amp;YEAR(A803))</f>
        <v/>
      </c>
      <c r="G803" s="8"/>
    </row>
    <row r="804" spans="1:7">
      <c r="A804" s="7"/>
      <c r="B804" s="6" t="str">
        <f>IF(A804="","",LOWER(TEXT(A804,"[$-es-ES]mmmm"))&amp;" "&amp;YEAR(A804))</f>
        <v/>
      </c>
      <c r="G804" s="8"/>
    </row>
    <row r="805" spans="1:7">
      <c r="A805" s="7"/>
      <c r="B805" s="6" t="str">
        <f>IF(A805="","",LOWER(TEXT(A805,"[$-es-ES]mmmm"))&amp;" "&amp;YEAR(A805))</f>
        <v/>
      </c>
      <c r="G805" s="8"/>
    </row>
    <row r="806" spans="1:7">
      <c r="A806" s="7"/>
      <c r="B806" s="6" t="str">
        <f>IF(A806="","",LOWER(TEXT(A806,"[$-es-ES]mmmm"))&amp;" "&amp;YEAR(A806))</f>
        <v/>
      </c>
      <c r="G806" s="8"/>
    </row>
    <row r="807" spans="1:7">
      <c r="A807" s="7"/>
      <c r="B807" s="6" t="str">
        <f>IF(A807="","",LOWER(TEXT(A807,"[$-es-ES]mmmm"))&amp;" "&amp;YEAR(A807))</f>
        <v/>
      </c>
      <c r="G807" s="8"/>
    </row>
    <row r="808" spans="1:7">
      <c r="A808" s="7"/>
      <c r="B808" s="6" t="str">
        <f>IF(A808="","",LOWER(TEXT(A808,"[$-es-ES]mmmm"))&amp;" "&amp;YEAR(A808))</f>
        <v/>
      </c>
      <c r="G808" s="8"/>
    </row>
    <row r="809" spans="1:7">
      <c r="A809" s="7"/>
      <c r="B809" s="6" t="str">
        <f>IF(A809="","",LOWER(TEXT(A809,"[$-es-ES]mmmm"))&amp;" "&amp;YEAR(A809))</f>
        <v/>
      </c>
      <c r="G809" s="8"/>
    </row>
    <row r="810" spans="1:7">
      <c r="A810" s="7"/>
      <c r="B810" s="6" t="str">
        <f>IF(A810="","",LOWER(TEXT(A810,"[$-es-ES]mmmm"))&amp;" "&amp;YEAR(A810))</f>
        <v/>
      </c>
      <c r="G810" s="8"/>
    </row>
    <row r="811" spans="1:7">
      <c r="A811" s="7"/>
      <c r="B811" s="6" t="str">
        <f>IF(A811="","",LOWER(TEXT(A811,"[$-es-ES]mmmm"))&amp;" "&amp;YEAR(A811))</f>
        <v/>
      </c>
      <c r="G811" s="8"/>
    </row>
    <row r="812" spans="1:7">
      <c r="A812" s="7"/>
      <c r="B812" s="6" t="str">
        <f>IF(A812="","",LOWER(TEXT(A812,"[$-es-ES]mmmm"))&amp;" "&amp;YEAR(A812))</f>
        <v/>
      </c>
      <c r="G812" s="8"/>
    </row>
    <row r="813" spans="1:7">
      <c r="A813" s="7"/>
      <c r="B813" s="6" t="str">
        <f>IF(A813="","",LOWER(TEXT(A813,"[$-es-ES]mmmm"))&amp;" "&amp;YEAR(A813))</f>
        <v/>
      </c>
      <c r="G813" s="8"/>
    </row>
    <row r="814" spans="1:7">
      <c r="A814" s="7"/>
      <c r="B814" s="6" t="str">
        <f>IF(A814="","",LOWER(TEXT(A814,"[$-es-ES]mmmm"))&amp;" "&amp;YEAR(A814))</f>
        <v/>
      </c>
      <c r="G814" s="8"/>
    </row>
    <row r="815" spans="1:7">
      <c r="A815" s="7"/>
      <c r="B815" s="6" t="str">
        <f>IF(A815="","",LOWER(TEXT(A815,"[$-es-ES]mmmm"))&amp;" "&amp;YEAR(A815))</f>
        <v/>
      </c>
      <c r="G815" s="8"/>
    </row>
    <row r="816" spans="1:7">
      <c r="A816" s="7"/>
      <c r="B816" s="6" t="str">
        <f>IF(A816="","",LOWER(TEXT(A816,"[$-es-ES]mmmm"))&amp;" "&amp;YEAR(A816))</f>
        <v/>
      </c>
      <c r="G816" s="8"/>
    </row>
    <row r="817" spans="1:7">
      <c r="A817" s="7"/>
      <c r="B817" s="6" t="str">
        <f>IF(A817="","",LOWER(TEXT(A817,"[$-es-ES]mmmm"))&amp;" "&amp;YEAR(A817))</f>
        <v/>
      </c>
      <c r="G817" s="8"/>
    </row>
    <row r="818" spans="1:7">
      <c r="A818" s="7"/>
      <c r="B818" s="6" t="str">
        <f>IF(A818="","",LOWER(TEXT(A818,"[$-es-ES]mmmm"))&amp;" "&amp;YEAR(A818))</f>
        <v/>
      </c>
      <c r="G818" s="8"/>
    </row>
    <row r="819" spans="1:7">
      <c r="A819" s="7"/>
      <c r="B819" s="6" t="str">
        <f>IF(A819="","",LOWER(TEXT(A819,"[$-es-ES]mmmm"))&amp;" "&amp;YEAR(A819))</f>
        <v/>
      </c>
      <c r="G819" s="8"/>
    </row>
    <row r="820" spans="1:7">
      <c r="A820" s="7"/>
      <c r="B820" s="6" t="str">
        <f>IF(A820="","",LOWER(TEXT(A820,"[$-es-ES]mmmm"))&amp;" "&amp;YEAR(A820))</f>
        <v/>
      </c>
      <c r="G820" s="8"/>
    </row>
    <row r="821" spans="1:7">
      <c r="A821" s="7"/>
      <c r="B821" s="6" t="str">
        <f>IF(A821="","",LOWER(TEXT(A821,"[$-es-ES]mmmm"))&amp;" "&amp;YEAR(A821))</f>
        <v/>
      </c>
      <c r="G821" s="8"/>
    </row>
    <row r="822" spans="1:7">
      <c r="A822" s="7"/>
      <c r="B822" s="6" t="str">
        <f>IF(A822="","",LOWER(TEXT(A822,"[$-es-ES]mmmm"))&amp;" "&amp;YEAR(A822))</f>
        <v/>
      </c>
      <c r="G822" s="8"/>
    </row>
    <row r="823" spans="1:7">
      <c r="A823" s="7"/>
      <c r="B823" s="6" t="str">
        <f>IF(A823="","",LOWER(TEXT(A823,"[$-es-ES]mmmm"))&amp;" "&amp;YEAR(A823))</f>
        <v/>
      </c>
      <c r="G823" s="8"/>
    </row>
    <row r="824" spans="1:7">
      <c r="A824" s="7"/>
      <c r="B824" s="6" t="str">
        <f>IF(A824="","",LOWER(TEXT(A824,"[$-es-ES]mmmm"))&amp;" "&amp;YEAR(A824))</f>
        <v/>
      </c>
      <c r="G824" s="8"/>
    </row>
    <row r="825" spans="1:7">
      <c r="A825" s="7"/>
      <c r="B825" s="6" t="str">
        <f>IF(A825="","",LOWER(TEXT(A825,"[$-es-ES]mmmm"))&amp;" "&amp;YEAR(A825))</f>
        <v/>
      </c>
      <c r="G825" s="8"/>
    </row>
    <row r="826" spans="1:7">
      <c r="A826" s="7"/>
      <c r="B826" s="6" t="str">
        <f>IF(A826="","",LOWER(TEXT(A826,"[$-es-ES]mmmm"))&amp;" "&amp;YEAR(A826))</f>
        <v/>
      </c>
      <c r="G826" s="8"/>
    </row>
    <row r="827" spans="1:7">
      <c r="A827" s="7"/>
      <c r="B827" s="6" t="str">
        <f>IF(A827="","",LOWER(TEXT(A827,"[$-es-ES]mmmm"))&amp;" "&amp;YEAR(A827))</f>
        <v/>
      </c>
      <c r="G827" s="8"/>
    </row>
    <row r="828" spans="1:7">
      <c r="A828" s="7"/>
      <c r="B828" s="6" t="str">
        <f>IF(A828="","",LOWER(TEXT(A828,"[$-es-ES]mmmm"))&amp;" "&amp;YEAR(A828))</f>
        <v/>
      </c>
      <c r="G828" s="8"/>
    </row>
    <row r="829" spans="1:7">
      <c r="A829" s="7"/>
      <c r="B829" s="6" t="str">
        <f>IF(A829="","",LOWER(TEXT(A829,"[$-es-ES]mmmm"))&amp;" "&amp;YEAR(A829))</f>
        <v/>
      </c>
      <c r="G829" s="8"/>
    </row>
    <row r="830" spans="1:7">
      <c r="A830" s="7"/>
      <c r="B830" s="6" t="str">
        <f>IF(A830="","",LOWER(TEXT(A830,"[$-es-ES]mmmm"))&amp;" "&amp;YEAR(A830))</f>
        <v/>
      </c>
      <c r="G830" s="8"/>
    </row>
    <row r="831" spans="1:7">
      <c r="A831" s="7"/>
      <c r="B831" s="6" t="str">
        <f>IF(A831="","",LOWER(TEXT(A831,"[$-es-ES]mmmm"))&amp;" "&amp;YEAR(A831))</f>
        <v/>
      </c>
      <c r="G831" s="8"/>
    </row>
    <row r="832" spans="1:7">
      <c r="A832" s="7"/>
      <c r="B832" s="6" t="str">
        <f>IF(A832="","",LOWER(TEXT(A832,"[$-es-ES]mmmm"))&amp;" "&amp;YEAR(A832))</f>
        <v/>
      </c>
      <c r="G832" s="8"/>
    </row>
    <row r="833" spans="1:7">
      <c r="A833" s="7"/>
      <c r="B833" s="6" t="str">
        <f>IF(A833="","",LOWER(TEXT(A833,"[$-es-ES]mmmm"))&amp;" "&amp;YEAR(A833))</f>
        <v/>
      </c>
      <c r="G833" s="8"/>
    </row>
    <row r="834" spans="1:7">
      <c r="A834" s="7"/>
      <c r="B834" s="6" t="str">
        <f>IF(A834="","",LOWER(TEXT(A834,"[$-es-ES]mmmm"))&amp;" "&amp;YEAR(A834))</f>
        <v/>
      </c>
      <c r="G834" s="8"/>
    </row>
    <row r="835" spans="1:7">
      <c r="A835" s="7"/>
      <c r="B835" s="6" t="str">
        <f>IF(A835="","",LOWER(TEXT(A835,"[$-es-ES]mmmm"))&amp;" "&amp;YEAR(A835))</f>
        <v/>
      </c>
      <c r="G835" s="8"/>
    </row>
    <row r="836" spans="1:7">
      <c r="A836" s="7"/>
      <c r="B836" s="6" t="str">
        <f>IF(A836="","",LOWER(TEXT(A836,"[$-es-ES]mmmm"))&amp;" "&amp;YEAR(A836))</f>
        <v/>
      </c>
      <c r="G836" s="8"/>
    </row>
    <row r="837" spans="1:7">
      <c r="A837" s="7"/>
      <c r="B837" s="6" t="str">
        <f>IF(A837="","",LOWER(TEXT(A837,"[$-es-ES]mmmm"))&amp;" "&amp;YEAR(A837))</f>
        <v/>
      </c>
      <c r="G837" s="8"/>
    </row>
    <row r="838" spans="1:7">
      <c r="A838" s="7"/>
      <c r="B838" s="6" t="str">
        <f>IF(A838="","",LOWER(TEXT(A838,"[$-es-ES]mmmm"))&amp;" "&amp;YEAR(A838))</f>
        <v/>
      </c>
      <c r="G838" s="8"/>
    </row>
    <row r="839" spans="1:7">
      <c r="A839" s="7"/>
      <c r="B839" s="6" t="str">
        <f>IF(A839="","",LOWER(TEXT(A839,"[$-es-ES]mmmm"))&amp;" "&amp;YEAR(A839))</f>
        <v/>
      </c>
      <c r="G839" s="8"/>
    </row>
    <row r="840" spans="1:7">
      <c r="A840" s="7"/>
      <c r="B840" s="6" t="str">
        <f>IF(A840="","",LOWER(TEXT(A840,"[$-es-ES]mmmm"))&amp;" "&amp;YEAR(A840))</f>
        <v/>
      </c>
      <c r="G840" s="8"/>
    </row>
    <row r="841" spans="1:7">
      <c r="A841" s="7"/>
      <c r="B841" s="6" t="str">
        <f>IF(A841="","",LOWER(TEXT(A841,"[$-es-ES]mmmm"))&amp;" "&amp;YEAR(A841))</f>
        <v/>
      </c>
      <c r="G841" s="8"/>
    </row>
    <row r="842" spans="1:7">
      <c r="A842" s="7"/>
      <c r="B842" s="6" t="str">
        <f>IF(A842="","",LOWER(TEXT(A842,"[$-es-ES]mmmm"))&amp;" "&amp;YEAR(A842))</f>
        <v/>
      </c>
      <c r="G842" s="8"/>
    </row>
    <row r="843" spans="1:7">
      <c r="A843" s="7"/>
      <c r="B843" s="6" t="str">
        <f>IF(A843="","",LOWER(TEXT(A843,"[$-es-ES]mmmm"))&amp;" "&amp;YEAR(A843))</f>
        <v/>
      </c>
      <c r="G843" s="8"/>
    </row>
    <row r="844" spans="1:7">
      <c r="A844" s="7"/>
      <c r="B844" s="6" t="str">
        <f>IF(A844="","",LOWER(TEXT(A844,"[$-es-ES]mmmm"))&amp;" "&amp;YEAR(A844))</f>
        <v/>
      </c>
      <c r="G844" s="8"/>
    </row>
    <row r="845" spans="1:7">
      <c r="A845" s="7"/>
      <c r="B845" s="6" t="str">
        <f>IF(A845="","",LOWER(TEXT(A845,"[$-es-ES]mmmm"))&amp;" "&amp;YEAR(A845))</f>
        <v/>
      </c>
      <c r="G845" s="8"/>
    </row>
    <row r="846" spans="1:7">
      <c r="A846" s="7"/>
      <c r="B846" s="6" t="str">
        <f>IF(A846="","",LOWER(TEXT(A846,"[$-es-ES]mmmm"))&amp;" "&amp;YEAR(A846))</f>
        <v/>
      </c>
      <c r="G846" s="8"/>
    </row>
    <row r="847" spans="1:7">
      <c r="A847" s="7"/>
      <c r="B847" s="6" t="str">
        <f>IF(A847="","",LOWER(TEXT(A847,"[$-es-ES]mmmm"))&amp;" "&amp;YEAR(A847))</f>
        <v/>
      </c>
      <c r="G847" s="8"/>
    </row>
    <row r="848" spans="1:7">
      <c r="A848" s="7"/>
      <c r="B848" s="6" t="str">
        <f>IF(A848="","",LOWER(TEXT(A848,"[$-es-ES]mmmm"))&amp;" "&amp;YEAR(A848))</f>
        <v/>
      </c>
      <c r="G848" s="8"/>
    </row>
    <row r="849" spans="1:7">
      <c r="A849" s="7"/>
      <c r="B849" s="6" t="str">
        <f>IF(A849="","",LOWER(TEXT(A849,"[$-es-ES]mmmm"))&amp;" "&amp;YEAR(A849))</f>
        <v/>
      </c>
      <c r="G849" s="8"/>
    </row>
    <row r="850" spans="1:7">
      <c r="A850" s="7"/>
      <c r="B850" s="6" t="str">
        <f>IF(A850="","",LOWER(TEXT(A850,"[$-es-ES]mmmm"))&amp;" "&amp;YEAR(A850))</f>
        <v/>
      </c>
      <c r="G850" s="8"/>
    </row>
    <row r="851" spans="1:7">
      <c r="A851" s="7"/>
      <c r="B851" s="6" t="str">
        <f>IF(A851="","",LOWER(TEXT(A851,"[$-es-ES]mmmm"))&amp;" "&amp;YEAR(A851))</f>
        <v/>
      </c>
      <c r="G851" s="8"/>
    </row>
    <row r="852" spans="1:7">
      <c r="A852" s="7"/>
      <c r="B852" s="6" t="str">
        <f>IF(A852="","",LOWER(TEXT(A852,"[$-es-ES]mmmm"))&amp;" "&amp;YEAR(A852))</f>
        <v/>
      </c>
      <c r="G852" s="8"/>
    </row>
    <row r="853" spans="1:7">
      <c r="A853" s="7"/>
      <c r="B853" s="6" t="str">
        <f>IF(A853="","",LOWER(TEXT(A853,"[$-es-ES]mmmm"))&amp;" "&amp;YEAR(A853))</f>
        <v/>
      </c>
      <c r="G853" s="8"/>
    </row>
    <row r="854" spans="1:7">
      <c r="A854" s="7"/>
      <c r="B854" s="6" t="str">
        <f>IF(A854="","",LOWER(TEXT(A854,"[$-es-ES]mmmm"))&amp;" "&amp;YEAR(A854))</f>
        <v/>
      </c>
      <c r="G854" s="8"/>
    </row>
    <row r="855" spans="1:7">
      <c r="A855" s="7"/>
      <c r="B855" s="6" t="str">
        <f>IF(A855="","",LOWER(TEXT(A855,"[$-es-ES]mmmm"))&amp;" "&amp;YEAR(A855))</f>
        <v/>
      </c>
      <c r="G855" s="8"/>
    </row>
    <row r="856" spans="1:7">
      <c r="A856" s="7"/>
      <c r="B856" s="6" t="str">
        <f>IF(A856="","",LOWER(TEXT(A856,"[$-es-ES]mmmm"))&amp;" "&amp;YEAR(A856))</f>
        <v/>
      </c>
      <c r="G856" s="8"/>
    </row>
    <row r="857" spans="1:7">
      <c r="A857" s="7"/>
      <c r="B857" s="6" t="str">
        <f>IF(A857="","",LOWER(TEXT(A857,"[$-es-ES]mmmm"))&amp;" "&amp;YEAR(A857))</f>
        <v/>
      </c>
      <c r="G857" s="8"/>
    </row>
    <row r="858" spans="1:7">
      <c r="A858" s="7"/>
      <c r="B858" s="6" t="str">
        <f>IF(A858="","",LOWER(TEXT(A858,"[$-es-ES]mmmm"))&amp;" "&amp;YEAR(A858))</f>
        <v/>
      </c>
      <c r="G858" s="8"/>
    </row>
    <row r="859" spans="1:7">
      <c r="A859" s="7"/>
      <c r="B859" s="6" t="str">
        <f>IF(A859="","",LOWER(TEXT(A859,"[$-es-ES]mmmm"))&amp;" "&amp;YEAR(A859))</f>
        <v/>
      </c>
      <c r="G859" s="8"/>
    </row>
    <row r="860" spans="1:7">
      <c r="A860" s="7"/>
      <c r="B860" s="6" t="str">
        <f>IF(A860="","",LOWER(TEXT(A860,"[$-es-ES]mmmm"))&amp;" "&amp;YEAR(A860))</f>
        <v/>
      </c>
      <c r="G860" s="8"/>
    </row>
    <row r="861" spans="1:7">
      <c r="A861" s="7"/>
      <c r="B861" s="6" t="str">
        <f>IF(A861="","",LOWER(TEXT(A861,"[$-es-ES]mmmm"))&amp;" "&amp;YEAR(A861))</f>
        <v/>
      </c>
      <c r="G861" s="8"/>
    </row>
    <row r="862" spans="1:7">
      <c r="A862" s="7"/>
      <c r="B862" s="6" t="str">
        <f>IF(A862="","",LOWER(TEXT(A862,"[$-es-ES]mmmm"))&amp;" "&amp;YEAR(A862))</f>
        <v/>
      </c>
      <c r="G862" s="8"/>
    </row>
    <row r="863" spans="1:7">
      <c r="A863" s="7"/>
      <c r="B863" s="6" t="str">
        <f>IF(A863="","",LOWER(TEXT(A863,"[$-es-ES]mmmm"))&amp;" "&amp;YEAR(A863))</f>
        <v/>
      </c>
      <c r="G863" s="8"/>
    </row>
    <row r="864" spans="1:7">
      <c r="A864" s="7"/>
      <c r="B864" s="6" t="str">
        <f>IF(A864="","",LOWER(TEXT(A864,"[$-es-ES]mmmm"))&amp;" "&amp;YEAR(A864))</f>
        <v/>
      </c>
      <c r="G864" s="8"/>
    </row>
    <row r="865" spans="1:7">
      <c r="A865" s="7"/>
      <c r="B865" s="6" t="str">
        <f>IF(A865="","",LOWER(TEXT(A865,"[$-es-ES]mmmm"))&amp;" "&amp;YEAR(A865))</f>
        <v/>
      </c>
      <c r="G865" s="8"/>
    </row>
    <row r="866" spans="1:7">
      <c r="A866" s="7"/>
      <c r="B866" s="6" t="str">
        <f>IF(A866="","",LOWER(TEXT(A866,"[$-es-ES]mmmm"))&amp;" "&amp;YEAR(A866))</f>
        <v/>
      </c>
      <c r="G866" s="8"/>
    </row>
    <row r="867" spans="1:7">
      <c r="A867" s="7"/>
      <c r="B867" s="6" t="str">
        <f>IF(A867="","",LOWER(TEXT(A867,"[$-es-ES]mmmm"))&amp;" "&amp;YEAR(A867))</f>
        <v/>
      </c>
      <c r="G867" s="8"/>
    </row>
    <row r="868" spans="1:7">
      <c r="A868" s="7"/>
      <c r="B868" s="6" t="str">
        <f>IF(A868="","",LOWER(TEXT(A868,"[$-es-ES]mmmm"))&amp;" "&amp;YEAR(A868))</f>
        <v/>
      </c>
      <c r="G868" s="8"/>
    </row>
    <row r="869" spans="1:7">
      <c r="A869" s="7"/>
      <c r="B869" s="6" t="str">
        <f>IF(A869="","",LOWER(TEXT(A869,"[$-es-ES]mmmm"))&amp;" "&amp;YEAR(A869))</f>
        <v/>
      </c>
      <c r="G869" s="8"/>
    </row>
    <row r="870" spans="1:7">
      <c r="A870" s="7"/>
      <c r="B870" s="6" t="str">
        <f>IF(A870="","",LOWER(TEXT(A870,"[$-es-ES]mmmm"))&amp;" "&amp;YEAR(A870))</f>
        <v/>
      </c>
      <c r="G870" s="8"/>
    </row>
    <row r="871" spans="1:7">
      <c r="A871" s="7"/>
      <c r="B871" s="6" t="str">
        <f>IF(A871="","",LOWER(TEXT(A871,"[$-es-ES]mmmm"))&amp;" "&amp;YEAR(A871))</f>
        <v/>
      </c>
      <c r="G871" s="8"/>
    </row>
    <row r="872" spans="1:7">
      <c r="A872" s="7"/>
      <c r="B872" s="6" t="str">
        <f>IF(A872="","",LOWER(TEXT(A872,"[$-es-ES]mmmm"))&amp;" "&amp;YEAR(A872))</f>
        <v/>
      </c>
      <c r="G872" s="8"/>
    </row>
    <row r="873" spans="1:7">
      <c r="A873" s="7"/>
      <c r="B873" s="6" t="str">
        <f>IF(A873="","",LOWER(TEXT(A873,"[$-es-ES]mmmm"))&amp;" "&amp;YEAR(A873))</f>
        <v/>
      </c>
      <c r="G873" s="8"/>
    </row>
    <row r="874" spans="1:7">
      <c r="A874" s="7"/>
      <c r="B874" s="6" t="str">
        <f>IF(A874="","",LOWER(TEXT(A874,"[$-es-ES]mmmm"))&amp;" "&amp;YEAR(A874))</f>
        <v/>
      </c>
      <c r="G874" s="8"/>
    </row>
    <row r="875" spans="1:7">
      <c r="A875" s="7"/>
      <c r="B875" s="6" t="str">
        <f>IF(A875="","",LOWER(TEXT(A875,"[$-es-ES]mmmm"))&amp;" "&amp;YEAR(A875))</f>
        <v/>
      </c>
      <c r="G875" s="8"/>
    </row>
    <row r="876" spans="1:7">
      <c r="A876" s="7"/>
      <c r="B876" s="6" t="str">
        <f>IF(A876="","",LOWER(TEXT(A876,"[$-es-ES]mmmm"))&amp;" "&amp;YEAR(A876))</f>
        <v/>
      </c>
      <c r="G876" s="8"/>
    </row>
    <row r="877" spans="1:7">
      <c r="A877" s="7"/>
      <c r="B877" s="6" t="str">
        <f>IF(A877="","",LOWER(TEXT(A877,"[$-es-ES]mmmm"))&amp;" "&amp;YEAR(A877))</f>
        <v/>
      </c>
      <c r="G877" s="8"/>
    </row>
    <row r="878" spans="1:7">
      <c r="A878" s="7"/>
      <c r="B878" s="6" t="str">
        <f>IF(A878="","",LOWER(TEXT(A878,"[$-es-ES]mmmm"))&amp;" "&amp;YEAR(A878))</f>
        <v/>
      </c>
      <c r="G878" s="8"/>
    </row>
    <row r="879" spans="1:7">
      <c r="A879" s="7"/>
      <c r="B879" s="6" t="str">
        <f>IF(A879="","",LOWER(TEXT(A879,"[$-es-ES]mmmm"))&amp;" "&amp;YEAR(A879))</f>
        <v/>
      </c>
      <c r="G879" s="8"/>
    </row>
    <row r="880" spans="1:7">
      <c r="A880" s="7"/>
      <c r="B880" s="6" t="str">
        <f>IF(A880="","",LOWER(TEXT(A880,"[$-es-ES]mmmm"))&amp;" "&amp;YEAR(A880))</f>
        <v/>
      </c>
      <c r="G880" s="8"/>
    </row>
    <row r="881" spans="1:7">
      <c r="A881" s="7"/>
      <c r="B881" s="6" t="str">
        <f>IF(A881="","",LOWER(TEXT(A881,"[$-es-ES]mmmm"))&amp;" "&amp;YEAR(A881))</f>
        <v/>
      </c>
      <c r="G881" s="8"/>
    </row>
    <row r="882" spans="1:7">
      <c r="A882" s="7"/>
      <c r="B882" s="6" t="str">
        <f>IF(A882="","",LOWER(TEXT(A882,"[$-es-ES]mmmm"))&amp;" "&amp;YEAR(A882))</f>
        <v/>
      </c>
      <c r="G882" s="8"/>
    </row>
    <row r="883" spans="1:7">
      <c r="A883" s="7"/>
      <c r="B883" s="6" t="str">
        <f>IF(A883="","",LOWER(TEXT(A883,"[$-es-ES]mmmm"))&amp;" "&amp;YEAR(A883))</f>
        <v/>
      </c>
      <c r="G883" s="8"/>
    </row>
    <row r="884" spans="1:7">
      <c r="A884" s="7"/>
      <c r="B884" s="6" t="str">
        <f>IF(A884="","",LOWER(TEXT(A884,"[$-es-ES]mmmm"))&amp;" "&amp;YEAR(A884))</f>
        <v/>
      </c>
      <c r="G884" s="8"/>
    </row>
    <row r="885" spans="1:7">
      <c r="A885" s="7"/>
      <c r="B885" s="6" t="str">
        <f>IF(A885="","",LOWER(TEXT(A885,"[$-es-ES]mmmm"))&amp;" "&amp;YEAR(A885))</f>
        <v/>
      </c>
      <c r="G885" s="8"/>
    </row>
    <row r="886" spans="1:7">
      <c r="A886" s="7"/>
      <c r="B886" s="6" t="str">
        <f>IF(A886="","",LOWER(TEXT(A886,"[$-es-ES]mmmm"))&amp;" "&amp;YEAR(A886))</f>
        <v/>
      </c>
      <c r="G886" s="8"/>
    </row>
    <row r="887" spans="1:7">
      <c r="A887" s="7"/>
      <c r="B887" s="6" t="str">
        <f>IF(A887="","",LOWER(TEXT(A887,"[$-es-ES]mmmm"))&amp;" "&amp;YEAR(A887))</f>
        <v/>
      </c>
      <c r="G887" s="8"/>
    </row>
    <row r="888" spans="1:7">
      <c r="A888" s="7"/>
      <c r="B888" s="6" t="str">
        <f>IF(A888="","",LOWER(TEXT(A888,"[$-es-ES]mmmm"))&amp;" "&amp;YEAR(A888))</f>
        <v/>
      </c>
      <c r="G888" s="8"/>
    </row>
    <row r="889" spans="1:7">
      <c r="A889" s="7"/>
      <c r="B889" s="6" t="str">
        <f>IF(A889="","",LOWER(TEXT(A889,"[$-es-ES]mmmm"))&amp;" "&amp;YEAR(A889))</f>
        <v/>
      </c>
      <c r="G889" s="8"/>
    </row>
    <row r="890" spans="1:7">
      <c r="A890" s="7"/>
      <c r="B890" s="6" t="str">
        <f>IF(A890="","",LOWER(TEXT(A890,"[$-es-ES]mmmm"))&amp;" "&amp;YEAR(A890))</f>
        <v/>
      </c>
      <c r="G890" s="8"/>
    </row>
    <row r="891" spans="1:7">
      <c r="A891" s="7"/>
      <c r="B891" s="6" t="str">
        <f>IF(A891="","",LOWER(TEXT(A891,"[$-es-ES]mmmm"))&amp;" "&amp;YEAR(A891))</f>
        <v/>
      </c>
      <c r="G891" s="8"/>
    </row>
    <row r="892" spans="1:7">
      <c r="A892" s="7"/>
      <c r="B892" s="6" t="str">
        <f>IF(A892="","",LOWER(TEXT(A892,"[$-es-ES]mmmm"))&amp;" "&amp;YEAR(A892))</f>
        <v/>
      </c>
      <c r="G892" s="8"/>
    </row>
    <row r="893" spans="1:7">
      <c r="A893" s="7"/>
      <c r="B893" s="6" t="str">
        <f>IF(A893="","",LOWER(TEXT(A893,"[$-es-ES]mmmm"))&amp;" "&amp;YEAR(A893))</f>
        <v/>
      </c>
      <c r="G893" s="8"/>
    </row>
    <row r="894" spans="1:7">
      <c r="A894" s="7"/>
      <c r="B894" s="6" t="str">
        <f>IF(A894="","",LOWER(TEXT(A894,"[$-es-ES]mmmm"))&amp;" "&amp;YEAR(A894))</f>
        <v/>
      </c>
      <c r="G894" s="8"/>
    </row>
    <row r="895" spans="1:7">
      <c r="A895" s="7"/>
      <c r="B895" s="6" t="str">
        <f>IF(A895="","",LOWER(TEXT(A895,"[$-es-ES]mmmm"))&amp;" "&amp;YEAR(A895))</f>
        <v/>
      </c>
      <c r="G895" s="8"/>
    </row>
    <row r="896" spans="1:7">
      <c r="A896" s="7"/>
      <c r="B896" s="6" t="str">
        <f>IF(A896="","",LOWER(TEXT(A896,"[$-es-ES]mmmm"))&amp;" "&amp;YEAR(A896))</f>
        <v/>
      </c>
      <c r="G896" s="8"/>
    </row>
    <row r="897" spans="1:7">
      <c r="A897" s="7"/>
      <c r="B897" s="6" t="str">
        <f>IF(A897="","",LOWER(TEXT(A897,"[$-es-ES]mmmm"))&amp;" "&amp;YEAR(A897))</f>
        <v/>
      </c>
      <c r="G897" s="8"/>
    </row>
    <row r="898" spans="1:7">
      <c r="A898" s="7"/>
      <c r="B898" s="6" t="str">
        <f>IF(A898="","",LOWER(TEXT(A898,"[$-es-ES]mmmm"))&amp;" "&amp;YEAR(A898))</f>
        <v/>
      </c>
      <c r="G898" s="8"/>
    </row>
    <row r="899" spans="1:7">
      <c r="A899" s="7"/>
      <c r="B899" s="6" t="str">
        <f>IF(A899="","",LOWER(TEXT(A899,"[$-es-ES]mmmm"))&amp;" "&amp;YEAR(A899))</f>
        <v/>
      </c>
      <c r="G899" s="8"/>
    </row>
    <row r="900" spans="1:7">
      <c r="A900" s="7"/>
      <c r="B900" s="6" t="str">
        <f>IF(A900="","",LOWER(TEXT(A900,"[$-es-ES]mmmm"))&amp;" "&amp;YEAR(A900))</f>
        <v/>
      </c>
      <c r="G900" s="8"/>
    </row>
    <row r="901" spans="1:7">
      <c r="A901" s="7"/>
      <c r="B901" s="6" t="str">
        <f>IF(A901="","",LOWER(TEXT(A901,"[$-es-ES]mmmm"))&amp;" "&amp;YEAR(A901))</f>
        <v/>
      </c>
      <c r="G901" s="8"/>
    </row>
    <row r="902" spans="1:7">
      <c r="A902" s="7"/>
      <c r="B902" s="6" t="str">
        <f>IF(A902="","",LOWER(TEXT(A902,"[$-es-ES]mmmm"))&amp;" "&amp;YEAR(A902))</f>
        <v/>
      </c>
      <c r="G902" s="8"/>
    </row>
    <row r="903" spans="1:7">
      <c r="A903" s="7"/>
      <c r="B903" s="6" t="str">
        <f>IF(A903="","",LOWER(TEXT(A903,"[$-es-ES]mmmm"))&amp;" "&amp;YEAR(A903))</f>
        <v/>
      </c>
      <c r="G903" s="8"/>
    </row>
    <row r="904" spans="1:7">
      <c r="A904" s="7"/>
      <c r="B904" s="6" t="str">
        <f>IF(A904="","",LOWER(TEXT(A904,"[$-es-ES]mmmm"))&amp;" "&amp;YEAR(A904))</f>
        <v/>
      </c>
      <c r="G904" s="8"/>
    </row>
    <row r="905" spans="1:7">
      <c r="A905" s="7"/>
      <c r="B905" s="6" t="str">
        <f>IF(A905="","",LOWER(TEXT(A905,"[$-es-ES]mmmm"))&amp;" "&amp;YEAR(A905))</f>
        <v/>
      </c>
      <c r="G905" s="8"/>
    </row>
    <row r="906" spans="1:7">
      <c r="A906" s="7"/>
      <c r="B906" s="6" t="str">
        <f>IF(A906="","",LOWER(TEXT(A906,"[$-es-ES]mmmm"))&amp;" "&amp;YEAR(A906))</f>
        <v/>
      </c>
      <c r="G906" s="8"/>
    </row>
    <row r="907" spans="1:7">
      <c r="A907" s="7"/>
      <c r="B907" s="6" t="str">
        <f>IF(A907="","",LOWER(TEXT(A907,"[$-es-ES]mmmm"))&amp;" "&amp;YEAR(A907))</f>
        <v/>
      </c>
      <c r="G907" s="8"/>
    </row>
    <row r="908" spans="1:7">
      <c r="A908" s="7"/>
      <c r="B908" s="6" t="str">
        <f>IF(A908="","",LOWER(TEXT(A908,"[$-es-ES]mmmm"))&amp;" "&amp;YEAR(A908))</f>
        <v/>
      </c>
      <c r="G908" s="8"/>
    </row>
    <row r="909" spans="1:7">
      <c r="A909" s="7"/>
      <c r="B909" s="6" t="str">
        <f>IF(A909="","",LOWER(TEXT(A909,"[$-es-ES]mmmm"))&amp;" "&amp;YEAR(A909))</f>
        <v/>
      </c>
      <c r="G909" s="8"/>
    </row>
    <row r="910" spans="1:7">
      <c r="A910" s="7"/>
      <c r="B910" s="6" t="str">
        <f>IF(A910="","",LOWER(TEXT(A910,"[$-es-ES]mmmm"))&amp;" "&amp;YEAR(A910))</f>
        <v/>
      </c>
      <c r="G910" s="8"/>
    </row>
    <row r="911" spans="1:7">
      <c r="A911" s="7"/>
      <c r="B911" s="6" t="str">
        <f>IF(A911="","",LOWER(TEXT(A911,"[$-es-ES]mmmm"))&amp;" "&amp;YEAR(A911))</f>
        <v/>
      </c>
      <c r="G911" s="8"/>
    </row>
    <row r="912" spans="1:7">
      <c r="A912" s="7"/>
      <c r="B912" s="6" t="str">
        <f>IF(A912="","",LOWER(TEXT(A912,"[$-es-ES]mmmm"))&amp;" "&amp;YEAR(A912))</f>
        <v/>
      </c>
      <c r="G912" s="8"/>
    </row>
    <row r="913" spans="1:7">
      <c r="A913" s="7"/>
      <c r="B913" s="6" t="str">
        <f>IF(A913="","",LOWER(TEXT(A913,"[$-es-ES]mmmm"))&amp;" "&amp;YEAR(A913))</f>
        <v/>
      </c>
      <c r="G913" s="8"/>
    </row>
    <row r="914" spans="1:7">
      <c r="A914" s="7"/>
      <c r="B914" s="6" t="str">
        <f>IF(A914="","",LOWER(TEXT(A914,"[$-es-ES]mmmm"))&amp;" "&amp;YEAR(A914))</f>
        <v/>
      </c>
      <c r="G914" s="8"/>
    </row>
    <row r="915" spans="1:7">
      <c r="A915" s="7"/>
      <c r="B915" s="6" t="str">
        <f>IF(A915="","",LOWER(TEXT(A915,"[$-es-ES]mmmm"))&amp;" "&amp;YEAR(A915))</f>
        <v/>
      </c>
      <c r="G915" s="8"/>
    </row>
    <row r="916" spans="1:7">
      <c r="A916" s="7"/>
      <c r="B916" s="6" t="str">
        <f>IF(A916="","",LOWER(TEXT(A916,"[$-es-ES]mmmm"))&amp;" "&amp;YEAR(A916))</f>
        <v/>
      </c>
      <c r="G916" s="8"/>
    </row>
    <row r="917" spans="1:7">
      <c r="A917" s="7"/>
      <c r="B917" s="6" t="str">
        <f>IF(A917="","",LOWER(TEXT(A917,"[$-es-ES]mmmm"))&amp;" "&amp;YEAR(A917))</f>
        <v/>
      </c>
      <c r="G917" s="8"/>
    </row>
    <row r="918" spans="1:7">
      <c r="A918" s="7"/>
      <c r="B918" s="6" t="str">
        <f>IF(A918="","",LOWER(TEXT(A918,"[$-es-ES]mmmm"))&amp;" "&amp;YEAR(A918))</f>
        <v/>
      </c>
      <c r="G918" s="8"/>
    </row>
    <row r="919" spans="1:7">
      <c r="A919" s="7"/>
      <c r="B919" s="6" t="str">
        <f>IF(A919="","",LOWER(TEXT(A919,"[$-es-ES]mmmm"))&amp;" "&amp;YEAR(A919))</f>
        <v/>
      </c>
      <c r="G919" s="8"/>
    </row>
    <row r="920" spans="1:7">
      <c r="A920" s="7"/>
      <c r="B920" s="6" t="str">
        <f>IF(A920="","",LOWER(TEXT(A920,"[$-es-ES]mmmm"))&amp;" "&amp;YEAR(A920))</f>
        <v/>
      </c>
      <c r="G920" s="8"/>
    </row>
    <row r="921" spans="1:7">
      <c r="A921" s="7"/>
      <c r="B921" s="6" t="str">
        <f>IF(A921="","",LOWER(TEXT(A921,"[$-es-ES]mmmm"))&amp;" "&amp;YEAR(A921))</f>
        <v/>
      </c>
      <c r="G921" s="8"/>
    </row>
    <row r="922" spans="1:7">
      <c r="A922" s="7"/>
      <c r="B922" s="6" t="str">
        <f>IF(A922="","",LOWER(TEXT(A922,"[$-es-ES]mmmm"))&amp;" "&amp;YEAR(A922))</f>
        <v/>
      </c>
      <c r="G922" s="8"/>
    </row>
    <row r="923" spans="1:7">
      <c r="A923" s="7"/>
      <c r="B923" s="6" t="str">
        <f>IF(A923="","",LOWER(TEXT(A923,"[$-es-ES]mmmm"))&amp;" "&amp;YEAR(A923))</f>
        <v/>
      </c>
      <c r="G923" s="8"/>
    </row>
    <row r="924" spans="1:7">
      <c r="A924" s="7"/>
      <c r="B924" s="6" t="str">
        <f>IF(A924="","",LOWER(TEXT(A924,"[$-es-ES]mmmm"))&amp;" "&amp;YEAR(A924))</f>
        <v/>
      </c>
      <c r="G924" s="8"/>
    </row>
    <row r="925" spans="1:7">
      <c r="A925" s="7"/>
      <c r="B925" s="6" t="str">
        <f>IF(A925="","",LOWER(TEXT(A925,"[$-es-ES]mmmm"))&amp;" "&amp;YEAR(A925))</f>
        <v/>
      </c>
      <c r="G925" s="8"/>
    </row>
    <row r="926" spans="1:7">
      <c r="A926" s="7"/>
      <c r="B926" s="6" t="str">
        <f>IF(A926="","",LOWER(TEXT(A926,"[$-es-ES]mmmm"))&amp;" "&amp;YEAR(A926))</f>
        <v/>
      </c>
      <c r="G926" s="8"/>
    </row>
    <row r="927" spans="1:7">
      <c r="A927" s="7"/>
      <c r="B927" s="6" t="str">
        <f>IF(A927="","",LOWER(TEXT(A927,"[$-es-ES]mmmm"))&amp;" "&amp;YEAR(A927))</f>
        <v/>
      </c>
      <c r="G927" s="8"/>
    </row>
    <row r="928" spans="1:7">
      <c r="A928" s="7"/>
      <c r="B928" s="6" t="str">
        <f>IF(A928="","",LOWER(TEXT(A928,"[$-es-ES]mmmm"))&amp;" "&amp;YEAR(A928))</f>
        <v/>
      </c>
      <c r="G928" s="8"/>
    </row>
    <row r="929" spans="1:7">
      <c r="A929" s="7"/>
      <c r="B929" s="6" t="str">
        <f>IF(A929="","",LOWER(TEXT(A929,"[$-es-ES]mmmm"))&amp;" "&amp;YEAR(A929))</f>
        <v/>
      </c>
      <c r="G929" s="8"/>
    </row>
    <row r="930" spans="1:7">
      <c r="A930" s="7"/>
      <c r="B930" s="6" t="str">
        <f>IF(A930="","",LOWER(TEXT(A930,"[$-es-ES]mmmm"))&amp;" "&amp;YEAR(A930))</f>
        <v/>
      </c>
      <c r="G930" s="8"/>
    </row>
    <row r="931" spans="1:7">
      <c r="A931" s="7"/>
      <c r="B931" s="6" t="str">
        <f>IF(A931="","",LOWER(TEXT(A931,"[$-es-ES]mmmm"))&amp;" "&amp;YEAR(A931))</f>
        <v/>
      </c>
      <c r="G931" s="8"/>
    </row>
    <row r="932" spans="1:7">
      <c r="A932" s="7"/>
      <c r="B932" s="6" t="str">
        <f>IF(A932="","",LOWER(TEXT(A932,"[$-es-ES]mmmm"))&amp;" "&amp;YEAR(A932))</f>
        <v/>
      </c>
      <c r="G932" s="8"/>
    </row>
    <row r="933" spans="1:7">
      <c r="A933" s="7"/>
      <c r="B933" s="6" t="str">
        <f>IF(A933="","",LOWER(TEXT(A933,"[$-es-ES]mmmm"))&amp;" "&amp;YEAR(A933))</f>
        <v/>
      </c>
      <c r="G933" s="8"/>
    </row>
    <row r="934" spans="1:7">
      <c r="A934" s="7"/>
      <c r="B934" s="6" t="str">
        <f>IF(A934="","",LOWER(TEXT(A934,"[$-es-ES]mmmm"))&amp;" "&amp;YEAR(A934))</f>
        <v/>
      </c>
      <c r="G934" s="8"/>
    </row>
    <row r="935" spans="1:7">
      <c r="A935" s="7"/>
      <c r="B935" s="6" t="str">
        <f>IF(A935="","",LOWER(TEXT(A935,"[$-es-ES]mmmm"))&amp;" "&amp;YEAR(A935))</f>
        <v/>
      </c>
      <c r="G935" s="8"/>
    </row>
    <row r="936" spans="1:7">
      <c r="A936" s="7"/>
      <c r="B936" s="6" t="str">
        <f>IF(A936="","",LOWER(TEXT(A936,"[$-es-ES]mmmm"))&amp;" "&amp;YEAR(A936))</f>
        <v/>
      </c>
      <c r="G936" s="8"/>
    </row>
    <row r="937" spans="1:7">
      <c r="A937" s="7"/>
      <c r="B937" s="6" t="str">
        <f>IF(A937="","",LOWER(TEXT(A937,"[$-es-ES]mmmm"))&amp;" "&amp;YEAR(A937))</f>
        <v/>
      </c>
      <c r="G937" s="8"/>
    </row>
    <row r="938" spans="1:7">
      <c r="A938" s="7"/>
      <c r="B938" s="6" t="str">
        <f>IF(A938="","",LOWER(TEXT(A938,"[$-es-ES]mmmm"))&amp;" "&amp;YEAR(A938))</f>
        <v/>
      </c>
      <c r="G938" s="8"/>
    </row>
    <row r="939" spans="1:7">
      <c r="A939" s="7"/>
      <c r="B939" s="6" t="str">
        <f>IF(A939="","",LOWER(TEXT(A939,"[$-es-ES]mmmm"))&amp;" "&amp;YEAR(A939))</f>
        <v/>
      </c>
      <c r="G939" s="8"/>
    </row>
    <row r="940" spans="1:7">
      <c r="A940" s="7"/>
      <c r="B940" s="6" t="str">
        <f>IF(A940="","",LOWER(TEXT(A940,"[$-es-ES]mmmm"))&amp;" "&amp;YEAR(A940))</f>
        <v/>
      </c>
      <c r="G940" s="8"/>
    </row>
    <row r="941" spans="1:7">
      <c r="A941" s="7"/>
      <c r="B941" s="6" t="str">
        <f>IF(A941="","",LOWER(TEXT(A941,"[$-es-ES]mmmm"))&amp;" "&amp;YEAR(A941))</f>
        <v/>
      </c>
      <c r="G941" s="8"/>
    </row>
    <row r="942" spans="1:7">
      <c r="A942" s="7"/>
      <c r="B942" s="6" t="str">
        <f>IF(A942="","",LOWER(TEXT(A942,"[$-es-ES]mmmm"))&amp;" "&amp;YEAR(A942))</f>
        <v/>
      </c>
      <c r="G942" s="8"/>
    </row>
    <row r="943" spans="1:7">
      <c r="A943" s="7"/>
      <c r="B943" s="6" t="str">
        <f>IF(A943="","",LOWER(TEXT(A943,"[$-es-ES]mmmm"))&amp;" "&amp;YEAR(A943))</f>
        <v/>
      </c>
      <c r="G943" s="8"/>
    </row>
    <row r="944" spans="1:7">
      <c r="A944" s="7"/>
      <c r="B944" s="6" t="str">
        <f>IF(A944="","",LOWER(TEXT(A944,"[$-es-ES]mmmm"))&amp;" "&amp;YEAR(A944))</f>
        <v/>
      </c>
      <c r="G944" s="8"/>
    </row>
    <row r="945" spans="1:7">
      <c r="A945" s="7"/>
      <c r="B945" s="6" t="str">
        <f>IF(A945="","",LOWER(TEXT(A945,"[$-es-ES]mmmm"))&amp;" "&amp;YEAR(A945))</f>
        <v/>
      </c>
      <c r="G945" s="8"/>
    </row>
    <row r="946" spans="1:7">
      <c r="A946" s="7"/>
      <c r="B946" s="6" t="str">
        <f>IF(A946="","",LOWER(TEXT(A946,"[$-es-ES]mmmm"))&amp;" "&amp;YEAR(A946))</f>
        <v/>
      </c>
      <c r="G946" s="8"/>
    </row>
    <row r="947" spans="1:7">
      <c r="A947" s="7"/>
      <c r="B947" s="6" t="str">
        <f>IF(A947="","",LOWER(TEXT(A947,"[$-es-ES]mmmm"))&amp;" "&amp;YEAR(A947))</f>
        <v/>
      </c>
      <c r="G947" s="8"/>
    </row>
    <row r="948" spans="1:7">
      <c r="A948" s="7"/>
      <c r="B948" s="6" t="str">
        <f>IF(A948="","",LOWER(TEXT(A948,"[$-es-ES]mmmm"))&amp;" "&amp;YEAR(A948))</f>
        <v/>
      </c>
      <c r="G948" s="8"/>
    </row>
    <row r="949" spans="1:7">
      <c r="A949" s="7"/>
      <c r="B949" s="6" t="str">
        <f>IF(A949="","",LOWER(TEXT(A949,"[$-es-ES]mmmm"))&amp;" "&amp;YEAR(A949))</f>
        <v/>
      </c>
      <c r="G949" s="8"/>
    </row>
    <row r="950" spans="1:7">
      <c r="A950" s="7"/>
      <c r="B950" s="6" t="str">
        <f>IF(A950="","",LOWER(TEXT(A950,"[$-es-ES]mmmm"))&amp;" "&amp;YEAR(A950))</f>
        <v/>
      </c>
      <c r="G950" s="8"/>
    </row>
    <row r="951" spans="1:7">
      <c r="A951" s="7"/>
      <c r="B951" s="6" t="str">
        <f>IF(A951="","",LOWER(TEXT(A951,"[$-es-ES]mmmm"))&amp;" "&amp;YEAR(A951))</f>
        <v/>
      </c>
      <c r="G951" s="8"/>
    </row>
    <row r="952" spans="1:7">
      <c r="A952" s="7"/>
      <c r="B952" s="6" t="str">
        <f>IF(A952="","",LOWER(TEXT(A952,"[$-es-ES]mmmm"))&amp;" "&amp;YEAR(A952))</f>
        <v/>
      </c>
      <c r="G952" s="8"/>
    </row>
    <row r="953" spans="1:7">
      <c r="A953" s="7"/>
      <c r="B953" s="6" t="str">
        <f>IF(A953="","",LOWER(TEXT(A953,"[$-es-ES]mmmm"))&amp;" "&amp;YEAR(A953))</f>
        <v/>
      </c>
      <c r="G953" s="8"/>
    </row>
    <row r="954" spans="1:7">
      <c r="A954" s="7"/>
      <c r="B954" s="6" t="str">
        <f>IF(A954="","",LOWER(TEXT(A954,"[$-es-ES]mmmm"))&amp;" "&amp;YEAR(A954))</f>
        <v/>
      </c>
      <c r="G954" s="8"/>
    </row>
    <row r="955" spans="1:7">
      <c r="A955" s="7"/>
      <c r="B955" s="6" t="str">
        <f>IF(A955="","",LOWER(TEXT(A955,"[$-es-ES]mmmm"))&amp;" "&amp;YEAR(A955))</f>
        <v/>
      </c>
      <c r="G955" s="8"/>
    </row>
    <row r="956" spans="1:7">
      <c r="A956" s="7"/>
      <c r="B956" s="6" t="str">
        <f>IF(A956="","",LOWER(TEXT(A956,"[$-es-ES]mmmm"))&amp;" "&amp;YEAR(A956))</f>
        <v/>
      </c>
      <c r="G956" s="8"/>
    </row>
    <row r="957" spans="1:7">
      <c r="A957" s="7"/>
      <c r="B957" s="6" t="str">
        <f>IF(A957="","",LOWER(TEXT(A957,"[$-es-ES]mmmm"))&amp;" "&amp;YEAR(A957))</f>
        <v/>
      </c>
      <c r="G957" s="8"/>
    </row>
    <row r="958" spans="1:7">
      <c r="A958" s="7"/>
      <c r="B958" s="6" t="str">
        <f>IF(A958="","",LOWER(TEXT(A958,"[$-es-ES]mmmm"))&amp;" "&amp;YEAR(A958))</f>
        <v/>
      </c>
      <c r="G958" s="8"/>
    </row>
    <row r="959" spans="1:7">
      <c r="A959" s="7"/>
      <c r="B959" s="6" t="str">
        <f>IF(A959="","",LOWER(TEXT(A959,"[$-es-ES]mmmm"))&amp;" "&amp;YEAR(A959))</f>
        <v/>
      </c>
      <c r="G959" s="8"/>
    </row>
    <row r="960" spans="1:7">
      <c r="A960" s="7"/>
      <c r="B960" s="6" t="str">
        <f>IF(A960="","",LOWER(TEXT(A960,"[$-es-ES]mmmm"))&amp;" "&amp;YEAR(A960))</f>
        <v/>
      </c>
      <c r="G960" s="8"/>
    </row>
    <row r="961" spans="1:7">
      <c r="A961" s="7"/>
      <c r="B961" s="6" t="str">
        <f>IF(A961="","",LOWER(TEXT(A961,"[$-es-ES]mmmm"))&amp;" "&amp;YEAR(A961))</f>
        <v/>
      </c>
      <c r="G961" s="8"/>
    </row>
    <row r="962" spans="1:7">
      <c r="A962" s="7"/>
      <c r="B962" s="6" t="str">
        <f>IF(A962="","",LOWER(TEXT(A962,"[$-es-ES]mmmm"))&amp;" "&amp;YEAR(A962))</f>
        <v/>
      </c>
      <c r="G962" s="8"/>
    </row>
    <row r="963" spans="1:7">
      <c r="A963" s="7"/>
      <c r="B963" s="6" t="str">
        <f>IF(A963="","",LOWER(TEXT(A963,"[$-es-ES]mmmm"))&amp;" "&amp;YEAR(A963))</f>
        <v/>
      </c>
      <c r="G963" s="8"/>
    </row>
    <row r="964" spans="1:7">
      <c r="A964" s="7"/>
      <c r="B964" s="6" t="str">
        <f>IF(A964="","",LOWER(TEXT(A964,"[$-es-ES]mmmm"))&amp;" "&amp;YEAR(A964))</f>
        <v/>
      </c>
      <c r="G964" s="8"/>
    </row>
    <row r="965" spans="1:7">
      <c r="A965" s="7"/>
      <c r="B965" s="6" t="str">
        <f>IF(A965="","",LOWER(TEXT(A965,"[$-es-ES]mmmm"))&amp;" "&amp;YEAR(A965))</f>
        <v/>
      </c>
      <c r="G965" s="8"/>
    </row>
    <row r="966" spans="1:7">
      <c r="A966" s="7"/>
      <c r="B966" s="6" t="str">
        <f>IF(A966="","",LOWER(TEXT(A966,"[$-es-ES]mmmm"))&amp;" "&amp;YEAR(A966))</f>
        <v/>
      </c>
      <c r="G966" s="8"/>
    </row>
    <row r="967" spans="1:7">
      <c r="A967" s="7"/>
      <c r="B967" s="6" t="str">
        <f>IF(A967="","",LOWER(TEXT(A967,"[$-es-ES]mmmm"))&amp;" "&amp;YEAR(A967))</f>
        <v/>
      </c>
      <c r="G967" s="8"/>
    </row>
    <row r="968" spans="1:7">
      <c r="A968" s="7"/>
      <c r="B968" s="6" t="str">
        <f>IF(A968="","",LOWER(TEXT(A968,"[$-es-ES]mmmm"))&amp;" "&amp;YEAR(A968))</f>
        <v/>
      </c>
      <c r="G968" s="8"/>
    </row>
    <row r="969" spans="1:7">
      <c r="A969" s="7"/>
      <c r="B969" s="6" t="str">
        <f>IF(A969="","",LOWER(TEXT(A969,"[$-es-ES]mmmm"))&amp;" "&amp;YEAR(A969))</f>
        <v/>
      </c>
      <c r="G969" s="8"/>
    </row>
    <row r="970" spans="1:7">
      <c r="A970" s="7"/>
      <c r="B970" s="6" t="str">
        <f>IF(A970="","",LOWER(TEXT(A970,"[$-es-ES]mmmm"))&amp;" "&amp;YEAR(A970))</f>
        <v/>
      </c>
      <c r="G970" s="8"/>
    </row>
    <row r="971" spans="1:7">
      <c r="A971" s="7"/>
      <c r="B971" s="6" t="str">
        <f>IF(A971="","",LOWER(TEXT(A971,"[$-es-ES]mmmm"))&amp;" "&amp;YEAR(A971))</f>
        <v/>
      </c>
      <c r="G971" s="8"/>
    </row>
    <row r="972" spans="1:7">
      <c r="A972" s="7"/>
      <c r="B972" s="6" t="str">
        <f>IF(A972="","",LOWER(TEXT(A972,"[$-es-ES]mmmm"))&amp;" "&amp;YEAR(A972))</f>
        <v/>
      </c>
      <c r="G972" s="8"/>
    </row>
    <row r="973" spans="1:7">
      <c r="A973" s="7"/>
      <c r="B973" s="6" t="str">
        <f>IF(A973="","",LOWER(TEXT(A973,"[$-es-ES]mmmm"))&amp;" "&amp;YEAR(A973))</f>
        <v/>
      </c>
      <c r="G973" s="8"/>
    </row>
    <row r="974" spans="1:7">
      <c r="A974" s="7"/>
      <c r="B974" s="6" t="str">
        <f>IF(A974="","",LOWER(TEXT(A974,"[$-es-ES]mmmm"))&amp;" "&amp;YEAR(A974))</f>
        <v/>
      </c>
      <c r="G974" s="8"/>
    </row>
    <row r="975" spans="1:7">
      <c r="A975" s="7"/>
      <c r="B975" s="6" t="str">
        <f>IF(A975="","",LOWER(TEXT(A975,"[$-es-ES]mmmm"))&amp;" "&amp;YEAR(A975))</f>
        <v/>
      </c>
      <c r="G975" s="8"/>
    </row>
    <row r="976" spans="1:7">
      <c r="A976" s="7"/>
      <c r="B976" s="6" t="str">
        <f>IF(A976="","",LOWER(TEXT(A976,"[$-es-ES]mmmm"))&amp;" "&amp;YEAR(A976))</f>
        <v/>
      </c>
      <c r="G976" s="8"/>
    </row>
    <row r="977" spans="1:7">
      <c r="A977" s="7"/>
      <c r="B977" s="6" t="str">
        <f>IF(A977="","",LOWER(TEXT(A977,"[$-es-ES]mmmm"))&amp;" "&amp;YEAR(A977))</f>
        <v/>
      </c>
      <c r="G977" s="8"/>
    </row>
    <row r="978" spans="1:7">
      <c r="A978" s="7"/>
      <c r="B978" s="6" t="str">
        <f>IF(A978="","",LOWER(TEXT(A978,"[$-es-ES]mmmm"))&amp;" "&amp;YEAR(A978))</f>
        <v/>
      </c>
      <c r="G978" s="8"/>
    </row>
    <row r="979" spans="1:7">
      <c r="A979" s="7"/>
      <c r="B979" s="6" t="str">
        <f>IF(A979="","",LOWER(TEXT(A979,"[$-es-ES]mmmm"))&amp;" "&amp;YEAR(A979))</f>
        <v/>
      </c>
      <c r="G979" s="8"/>
    </row>
    <row r="980" spans="1:7">
      <c r="A980" s="7"/>
      <c r="B980" s="6" t="str">
        <f>IF(A980="","",LOWER(TEXT(A980,"[$-es-ES]mmmm"))&amp;" "&amp;YEAR(A980))</f>
        <v/>
      </c>
      <c r="G980" s="8"/>
    </row>
    <row r="981" spans="1:7">
      <c r="A981" s="7"/>
      <c r="B981" s="6" t="str">
        <f>IF(A981="","",LOWER(TEXT(A981,"[$-es-ES]mmmm"))&amp;" "&amp;YEAR(A981))</f>
        <v/>
      </c>
      <c r="G981" s="8"/>
    </row>
    <row r="982" spans="1:7">
      <c r="A982" s="7"/>
      <c r="B982" s="6" t="str">
        <f>IF(A982="","",LOWER(TEXT(A982,"[$-es-ES]mmmm"))&amp;" "&amp;YEAR(A982))</f>
        <v/>
      </c>
      <c r="G982" s="8"/>
    </row>
    <row r="983" spans="1:7">
      <c r="A983" s="7"/>
      <c r="B983" s="6" t="str">
        <f>IF(A983="","",LOWER(TEXT(A983,"[$-es-ES]mmmm"))&amp;" "&amp;YEAR(A983))</f>
        <v/>
      </c>
      <c r="G983" s="8"/>
    </row>
    <row r="984" spans="1:7">
      <c r="A984" s="7"/>
      <c r="B984" s="6" t="str">
        <f>IF(A984="","",LOWER(TEXT(A984,"[$-es-ES]mmmm"))&amp;" "&amp;YEAR(A984))</f>
        <v/>
      </c>
      <c r="G984" s="8"/>
    </row>
    <row r="985" spans="1:7">
      <c r="A985" s="7"/>
      <c r="B985" s="6" t="str">
        <f>IF(A985="","",LOWER(TEXT(A985,"[$-es-ES]mmmm"))&amp;" "&amp;YEAR(A985))</f>
        <v/>
      </c>
      <c r="G985" s="8"/>
    </row>
    <row r="986" spans="1:7">
      <c r="A986" s="7"/>
      <c r="B986" s="6" t="str">
        <f>IF(A986="","",LOWER(TEXT(A986,"[$-es-ES]mmmm"))&amp;" "&amp;YEAR(A986))</f>
        <v/>
      </c>
      <c r="G986" s="8"/>
    </row>
    <row r="987" spans="1:7">
      <c r="A987" s="7"/>
      <c r="B987" s="6" t="str">
        <f>IF(A987="","",LOWER(TEXT(A987,"[$-es-ES]mmmm"))&amp;" "&amp;YEAR(A987))</f>
        <v/>
      </c>
      <c r="G987" s="8"/>
    </row>
    <row r="988" spans="1:7">
      <c r="A988" s="7"/>
      <c r="B988" s="6" t="str">
        <f>IF(A988="","",LOWER(TEXT(A988,"[$-es-ES]mmmm"))&amp;" "&amp;YEAR(A988))</f>
        <v/>
      </c>
      <c r="G988" s="8"/>
    </row>
    <row r="989" spans="1:7">
      <c r="A989" s="7"/>
      <c r="B989" s="6" t="str">
        <f>IF(A989="","",LOWER(TEXT(A989,"[$-es-ES]mmmm"))&amp;" "&amp;YEAR(A989))</f>
        <v/>
      </c>
      <c r="G989" s="8"/>
    </row>
    <row r="990" spans="1:7">
      <c r="A990" s="7"/>
      <c r="B990" s="6" t="str">
        <f>IF(A990="","",LOWER(TEXT(A990,"[$-es-ES]mmmm"))&amp;" "&amp;YEAR(A990))</f>
        <v/>
      </c>
      <c r="G990" s="8"/>
    </row>
    <row r="991" spans="1:7">
      <c r="A991" s="7"/>
      <c r="B991" s="6" t="str">
        <f>IF(A991="","",LOWER(TEXT(A991,"[$-es-ES]mmmm"))&amp;" "&amp;YEAR(A991))</f>
        <v/>
      </c>
      <c r="G991" s="8"/>
    </row>
    <row r="992" spans="1:7">
      <c r="A992" s="7"/>
      <c r="B992" s="6" t="str">
        <f>IF(A992="","",LOWER(TEXT(A992,"[$-es-ES]mmmm"))&amp;" "&amp;YEAR(A992))</f>
        <v/>
      </c>
      <c r="G992" s="8"/>
    </row>
    <row r="993" spans="1:7">
      <c r="A993" s="7"/>
      <c r="B993" s="6" t="str">
        <f>IF(A993="","",LOWER(TEXT(A993,"[$-es-ES]mmmm"))&amp;" "&amp;YEAR(A993))</f>
        <v/>
      </c>
      <c r="G993" s="8"/>
    </row>
    <row r="994" spans="1:7">
      <c r="A994" s="7"/>
      <c r="B994" s="6" t="str">
        <f>IF(A994="","",LOWER(TEXT(A994,"[$-es-ES]mmmm"))&amp;" "&amp;YEAR(A994))</f>
        <v/>
      </c>
      <c r="G994" s="8"/>
    </row>
    <row r="995" spans="1:7">
      <c r="A995" s="7"/>
      <c r="B995" s="6" t="str">
        <f>IF(A995="","",LOWER(TEXT(A995,"[$-es-ES]mmmm"))&amp;" "&amp;YEAR(A995))</f>
        <v/>
      </c>
      <c r="G995" s="8"/>
    </row>
    <row r="996" spans="1:7">
      <c r="A996" s="7"/>
      <c r="B996" s="6" t="str">
        <f>IF(A996="","",LOWER(TEXT(A996,"[$-es-ES]mmmm"))&amp;" "&amp;YEAR(A996))</f>
        <v/>
      </c>
      <c r="G996" s="8"/>
    </row>
    <row r="997" spans="1:7">
      <c r="A997" s="7"/>
      <c r="B997" s="6" t="str">
        <f>IF(A997="","",LOWER(TEXT(A997,"[$-es-ES]mmmm"))&amp;" "&amp;YEAR(A997))</f>
        <v/>
      </c>
      <c r="G997" s="8"/>
    </row>
    <row r="998" spans="1:7">
      <c r="A998" s="7"/>
      <c r="B998" s="6" t="str">
        <f>IF(A998="","",LOWER(TEXT(A998,"[$-es-ES]mmmm"))&amp;" "&amp;YEAR(A998))</f>
        <v/>
      </c>
      <c r="G998" s="8"/>
    </row>
    <row r="999" spans="1:7">
      <c r="A999" s="7"/>
      <c r="B999" s="6" t="str">
        <f>IF(A999="","",LOWER(TEXT(A999,"[$-es-ES]mmmm"))&amp;" "&amp;YEAR(A999))</f>
        <v/>
      </c>
      <c r="G999" s="8"/>
    </row>
    <row r="1000" spans="1:7">
      <c r="A1000" s="7"/>
      <c r="B1000" s="6" t="str">
        <f>IF(A1000="","",LOWER(TEXT(A1000,"[$-es-ES]mmmm"))&amp;" "&amp;YEAR(A1000))</f>
        <v/>
      </c>
      <c r="G1000" s="8"/>
    </row>
    <row r="1001" spans="1:7">
      <c r="A1001" s="7"/>
      <c r="B1001" s="6" t="str">
        <f>IF(A1001="","",LOWER(TEXT(A1001,"[$-es-ES]mmmm"))&amp;" "&amp;YEAR(A1001))</f>
        <v/>
      </c>
      <c r="G1001" s="8"/>
    </row>
    <row r="1002" spans="1:7">
      <c r="A1002" s="7"/>
      <c r="B1002" s="6" t="str">
        <f>IF(A1002="","",LOWER(TEXT(A1002,"[$-es-ES]mmmm"))&amp;" "&amp;YEAR(A1002))</f>
        <v/>
      </c>
      <c r="G1002" s="8"/>
    </row>
    <row r="1003" spans="1:7">
      <c r="A1003" s="7"/>
      <c r="B1003" s="6" t="str">
        <f>IF(A1003="","",LOWER(TEXT(A1003,"[$-es-ES]mmmm"))&amp;" "&amp;YEAR(A1003))</f>
        <v/>
      </c>
      <c r="G1003" s="8"/>
    </row>
    <row r="1004" spans="1:7">
      <c r="A1004" s="7"/>
      <c r="B1004" s="6" t="str">
        <f>IF(A1004="","",LOWER(TEXT(A1004,"[$-es-ES]mmmm"))&amp;" "&amp;YEAR(A1004))</f>
        <v/>
      </c>
      <c r="G1004" s="8"/>
    </row>
    <row r="1005" spans="1:7">
      <c r="A1005" s="7"/>
      <c r="B1005" s="6" t="str">
        <f>IF(A1005="","",LOWER(TEXT(A1005,"[$-es-ES]mmmm"))&amp;" "&amp;YEAR(A1005))</f>
        <v/>
      </c>
      <c r="G1005" s="8"/>
    </row>
    <row r="1006" spans="1:7">
      <c r="A1006" s="7"/>
      <c r="B1006" s="6" t="str">
        <f>IF(A1006="","",LOWER(TEXT(A1006,"[$-es-ES]mmmm"))&amp;" "&amp;YEAR(A1006))</f>
        <v/>
      </c>
      <c r="G1006" s="8"/>
    </row>
    <row r="1007" spans="1:7">
      <c r="A1007" s="7"/>
      <c r="B1007" s="6" t="str">
        <f>IF(A1007="","",LOWER(TEXT(A1007,"[$-es-ES]mmmm"))&amp;" "&amp;YEAR(A1007))</f>
        <v/>
      </c>
      <c r="G1007" s="8"/>
    </row>
    <row r="1008" spans="1:7">
      <c r="A1008" s="7"/>
      <c r="B1008" s="6" t="str">
        <f>IF(A1008="","",LOWER(TEXT(A1008,"[$-es-ES]mmmm"))&amp;" "&amp;YEAR(A1008))</f>
        <v/>
      </c>
      <c r="G1008" s="8"/>
    </row>
    <row r="1009" spans="1:7">
      <c r="A1009" s="7"/>
      <c r="B1009" s="6" t="str">
        <f>IF(A1009="","",LOWER(TEXT(A1009,"[$-es-ES]mmmm"))&amp;" "&amp;YEAR(A1009))</f>
        <v/>
      </c>
      <c r="G1009" s="8"/>
    </row>
    <row r="1010" spans="1:7">
      <c r="A1010" s="7"/>
      <c r="B1010" s="6" t="str">
        <f>IF(A1010="","",LOWER(TEXT(A1010,"[$-es-ES]mmmm"))&amp;" "&amp;YEAR(A1010))</f>
        <v/>
      </c>
      <c r="G1010" s="8"/>
    </row>
    <row r="1011" spans="1:7">
      <c r="A1011" s="7"/>
      <c r="B1011" s="6" t="str">
        <f>IF(A1011="","",LOWER(TEXT(A1011,"[$-es-ES]mmmm"))&amp;" "&amp;YEAR(A1011))</f>
        <v/>
      </c>
      <c r="G1011" s="8"/>
    </row>
    <row r="1012" spans="1:7">
      <c r="A1012" s="7"/>
      <c r="B1012" s="6" t="str">
        <f>IF(A1012="","",LOWER(TEXT(A1012,"[$-es-ES]mmmm"))&amp;" "&amp;YEAR(A1012))</f>
        <v/>
      </c>
      <c r="G1012" s="8"/>
    </row>
    <row r="1013" spans="1:7">
      <c r="A1013" s="7"/>
      <c r="B1013" s="6" t="str">
        <f>IF(A1013="","",LOWER(TEXT(A1013,"[$-es-ES]mmmm"))&amp;" "&amp;YEAR(A1013))</f>
        <v/>
      </c>
      <c r="G1013" s="8"/>
    </row>
    <row r="1014" spans="1:7">
      <c r="A1014" s="7"/>
      <c r="B1014" s="6" t="str">
        <f>IF(A1014="","",LOWER(TEXT(A1014,"[$-es-ES]mmmm"))&amp;" "&amp;YEAR(A1014))</f>
        <v/>
      </c>
      <c r="G1014" s="8"/>
    </row>
    <row r="1015" spans="1:7">
      <c r="A1015" s="7"/>
      <c r="B1015" s="6" t="str">
        <f>IF(A1015="","",LOWER(TEXT(A1015,"[$-es-ES]mmmm"))&amp;" "&amp;YEAR(A1015))</f>
        <v/>
      </c>
      <c r="G1015" s="8"/>
    </row>
    <row r="1016" spans="1:7">
      <c r="A1016" s="7"/>
      <c r="B1016" s="6" t="str">
        <f>IF(A1016="","",LOWER(TEXT(A1016,"[$-es-ES]mmmm"))&amp;" "&amp;YEAR(A1016))</f>
        <v/>
      </c>
      <c r="G1016" s="8"/>
    </row>
    <row r="1017" spans="1:7">
      <c r="A1017" s="7"/>
      <c r="B1017" s="6" t="str">
        <f>IF(A1017="","",LOWER(TEXT(A1017,"[$-es-ES]mmmm"))&amp;" "&amp;YEAR(A1017))</f>
        <v/>
      </c>
      <c r="G1017" s="8"/>
    </row>
    <row r="1018" spans="1:7">
      <c r="A1018" s="7"/>
      <c r="B1018" s="6" t="str">
        <f>IF(A1018="","",LOWER(TEXT(A1018,"[$-es-ES]mmmm"))&amp;" "&amp;YEAR(A1018))</f>
        <v/>
      </c>
      <c r="G1018" s="8"/>
    </row>
    <row r="1019" spans="1:7">
      <c r="A1019" s="7"/>
      <c r="B1019" s="6" t="str">
        <f>IF(A1019="","",LOWER(TEXT(A1019,"[$-es-ES]mmmm"))&amp;" "&amp;YEAR(A1019))</f>
        <v/>
      </c>
      <c r="G1019" s="8"/>
    </row>
    <row r="1020" spans="1:7">
      <c r="A1020" s="7"/>
      <c r="B1020" s="6" t="str">
        <f>IF(A1020="","",LOWER(TEXT(A1020,"[$-es-ES]mmmm"))&amp;" "&amp;YEAR(A1020))</f>
        <v/>
      </c>
      <c r="G1020" s="8"/>
    </row>
    <row r="1021" spans="1:7">
      <c r="A1021" s="7"/>
      <c r="B1021" s="6" t="str">
        <f>IF(A1021="","",LOWER(TEXT(A1021,"[$-es-ES]mmmm"))&amp;" "&amp;YEAR(A1021))</f>
        <v/>
      </c>
      <c r="G1021" s="8"/>
    </row>
    <row r="1022" spans="1:7">
      <c r="A1022" s="7"/>
      <c r="B1022" s="6" t="str">
        <f>IF(A1022="","",LOWER(TEXT(A1022,"[$-es-ES]mmmm"))&amp;" "&amp;YEAR(A1022))</f>
        <v/>
      </c>
      <c r="G1022" s="8"/>
    </row>
    <row r="1023" spans="1:7">
      <c r="A1023" s="7"/>
      <c r="B1023" s="6" t="str">
        <f>IF(A1023="","",LOWER(TEXT(A1023,"[$-es-ES]mmmm"))&amp;" "&amp;YEAR(A1023))</f>
        <v/>
      </c>
      <c r="G1023" s="8"/>
    </row>
    <row r="1024" spans="1:7">
      <c r="A1024" s="7"/>
      <c r="B1024" s="6" t="str">
        <f>IF(A1024="","",LOWER(TEXT(A1024,"[$-es-ES]mmmm"))&amp;" "&amp;YEAR(A1024))</f>
        <v/>
      </c>
      <c r="G1024" s="8"/>
    </row>
    <row r="1025" spans="1:7">
      <c r="A1025" s="7"/>
      <c r="B1025" s="6" t="str">
        <f>IF(A1025="","",LOWER(TEXT(A1025,"[$-es-ES]mmmm"))&amp;" "&amp;YEAR(A1025))</f>
        <v/>
      </c>
      <c r="G1025" s="8"/>
    </row>
    <row r="1026" spans="1:7">
      <c r="A1026" s="7"/>
      <c r="B1026" s="6" t="str">
        <f>IF(A1026="","",LOWER(TEXT(A1026,"[$-es-ES]mmmm"))&amp;" "&amp;YEAR(A1026))</f>
        <v/>
      </c>
      <c r="G1026" s="8"/>
    </row>
    <row r="1027" spans="1:7">
      <c r="A1027" s="7"/>
      <c r="B1027" s="6" t="str">
        <f>IF(A1027="","",LOWER(TEXT(A1027,"[$-es-ES]mmmm"))&amp;" "&amp;YEAR(A1027))</f>
        <v/>
      </c>
      <c r="G1027" s="8"/>
    </row>
    <row r="1028" spans="1:7">
      <c r="A1028" s="7"/>
      <c r="B1028" s="6" t="str">
        <f>IF(A1028="","",LOWER(TEXT(A1028,"[$-es-ES]mmmm"))&amp;" "&amp;YEAR(A1028))</f>
        <v/>
      </c>
      <c r="G1028" s="8"/>
    </row>
    <row r="1029" spans="1:7">
      <c r="A1029" s="7"/>
      <c r="B1029" s="6" t="str">
        <f>IF(A1029="","",LOWER(TEXT(A1029,"[$-es-ES]mmmm"))&amp;" "&amp;YEAR(A1029))</f>
        <v/>
      </c>
      <c r="G1029" s="8"/>
    </row>
    <row r="1030" spans="1:7">
      <c r="A1030" s="7"/>
      <c r="B1030" s="6" t="str">
        <f>IF(A1030="","",LOWER(TEXT(A1030,"[$-es-ES]mmmm"))&amp;" "&amp;YEAR(A1030))</f>
        <v/>
      </c>
      <c r="G1030" s="8"/>
    </row>
    <row r="1031" spans="1:7">
      <c r="A1031" s="7"/>
      <c r="B1031" s="6" t="str">
        <f>IF(A1031="","",LOWER(TEXT(A1031,"[$-es-ES]mmmm"))&amp;" "&amp;YEAR(A1031))</f>
        <v/>
      </c>
      <c r="G1031" s="8"/>
    </row>
    <row r="1032" spans="1:7">
      <c r="A1032" s="7"/>
      <c r="B1032" s="6" t="str">
        <f>IF(A1032="","",LOWER(TEXT(A1032,"[$-es-ES]mmmm"))&amp;" "&amp;YEAR(A1032))</f>
        <v/>
      </c>
      <c r="G1032" s="8"/>
    </row>
    <row r="1033" spans="1:7">
      <c r="A1033" s="7"/>
      <c r="B1033" s="6" t="str">
        <f>IF(A1033="","",LOWER(TEXT(A1033,"[$-es-ES]mmmm"))&amp;" "&amp;YEAR(A1033))</f>
        <v/>
      </c>
      <c r="G1033" s="8"/>
    </row>
    <row r="1034" spans="1:7">
      <c r="A1034" s="7"/>
      <c r="B1034" s="6" t="str">
        <f>IF(A1034="","",LOWER(TEXT(A1034,"[$-es-ES]mmmm"))&amp;" "&amp;YEAR(A1034))</f>
        <v/>
      </c>
      <c r="G1034" s="8"/>
    </row>
    <row r="1035" spans="1:7">
      <c r="A1035" s="7"/>
      <c r="B1035" s="6" t="str">
        <f>IF(A1035="","",LOWER(TEXT(A1035,"[$-es-ES]mmmm"))&amp;" "&amp;YEAR(A1035))</f>
        <v/>
      </c>
      <c r="G1035" s="8"/>
    </row>
    <row r="1036" spans="1:7">
      <c r="A1036" s="7"/>
      <c r="B1036" s="6" t="str">
        <f>IF(A1036="","",LOWER(TEXT(A1036,"[$-es-ES]mmmm"))&amp;" "&amp;YEAR(A1036))</f>
        <v/>
      </c>
      <c r="G1036" s="8"/>
    </row>
    <row r="1037" spans="1:7">
      <c r="A1037" s="7"/>
      <c r="B1037" s="6" t="str">
        <f>IF(A1037="","",LOWER(TEXT(A1037,"[$-es-ES]mmmm"))&amp;" "&amp;YEAR(A1037))</f>
        <v/>
      </c>
      <c r="G1037" s="8"/>
    </row>
    <row r="1038" spans="1:7">
      <c r="A1038" s="7"/>
      <c r="B1038" s="6" t="str">
        <f>IF(A1038="","",LOWER(TEXT(A1038,"[$-es-ES]mmmm"))&amp;" "&amp;YEAR(A1038))</f>
        <v/>
      </c>
      <c r="G1038" s="8"/>
    </row>
    <row r="1039" spans="1:7">
      <c r="A1039" s="7"/>
      <c r="B1039" s="6" t="str">
        <f>IF(A1039="","",LOWER(TEXT(A1039,"[$-es-ES]mmmm"))&amp;" "&amp;YEAR(A1039))</f>
        <v/>
      </c>
      <c r="G1039" s="8"/>
    </row>
    <row r="1040" spans="1:7">
      <c r="A1040" s="7"/>
      <c r="B1040" s="6" t="str">
        <f>IF(A1040="","",LOWER(TEXT(A1040,"[$-es-ES]mmmm"))&amp;" "&amp;YEAR(A1040))</f>
        <v/>
      </c>
      <c r="G1040" s="8"/>
    </row>
    <row r="1041" spans="1:7">
      <c r="A1041" s="7"/>
      <c r="B1041" s="6" t="str">
        <f>IF(A1041="","",LOWER(TEXT(A1041,"[$-es-ES]mmmm"))&amp;" "&amp;YEAR(A1041))</f>
        <v/>
      </c>
      <c r="G1041" s="8"/>
    </row>
    <row r="1042" spans="1:7">
      <c r="A1042" s="7"/>
      <c r="B1042" s="6" t="str">
        <f>IF(A1042="","",LOWER(TEXT(A1042,"[$-es-ES]mmmm"))&amp;" "&amp;YEAR(A1042))</f>
        <v/>
      </c>
      <c r="G1042" s="8"/>
    </row>
    <row r="1043" spans="1:7">
      <c r="A1043" s="7"/>
      <c r="B1043" s="6" t="str">
        <f>IF(A1043="","",LOWER(TEXT(A1043,"[$-es-ES]mmmm"))&amp;" "&amp;YEAR(A1043))</f>
        <v/>
      </c>
      <c r="G1043" s="8"/>
    </row>
    <row r="1044" spans="1:7">
      <c r="A1044" s="7"/>
      <c r="B1044" s="6" t="str">
        <f>IF(A1044="","",LOWER(TEXT(A1044,"[$-es-ES]mmmm"))&amp;" "&amp;YEAR(A1044))</f>
        <v/>
      </c>
      <c r="G1044" s="8"/>
    </row>
    <row r="1045" spans="1:7">
      <c r="A1045" s="7"/>
      <c r="B1045" s="6" t="str">
        <f>IF(A1045="","",LOWER(TEXT(A1045,"[$-es-ES]mmmm"))&amp;" "&amp;YEAR(A1045))</f>
        <v/>
      </c>
      <c r="G1045" s="8"/>
    </row>
    <row r="1046" spans="1:7">
      <c r="A1046" s="7"/>
      <c r="B1046" s="6" t="str">
        <f>IF(A1046="","",LOWER(TEXT(A1046,"[$-es-ES]mmmm"))&amp;" "&amp;YEAR(A1046))</f>
        <v/>
      </c>
      <c r="G1046" s="8"/>
    </row>
    <row r="1047" spans="1:7">
      <c r="A1047" s="7"/>
      <c r="B1047" s="6" t="str">
        <f>IF(A1047="","",LOWER(TEXT(A1047,"[$-es-ES]mmmm"))&amp;" "&amp;YEAR(A1047))</f>
        <v/>
      </c>
      <c r="G1047" s="8"/>
    </row>
    <row r="1048" spans="1:7">
      <c r="A1048" s="7"/>
      <c r="B1048" s="6" t="str">
        <f>IF(A1048="","",LOWER(TEXT(A1048,"[$-es-ES]mmmm"))&amp;" "&amp;YEAR(A1048))</f>
        <v/>
      </c>
      <c r="G1048" s="8"/>
    </row>
    <row r="1049" spans="1:7">
      <c r="A1049" s="7"/>
      <c r="B1049" s="6" t="str">
        <f>IF(A1049="","",LOWER(TEXT(A1049,"[$-es-ES]mmmm"))&amp;" "&amp;YEAR(A1049))</f>
        <v/>
      </c>
      <c r="G1049" s="8"/>
    </row>
    <row r="1050" spans="1:7">
      <c r="A1050" s="7"/>
      <c r="B1050" s="6" t="str">
        <f>IF(A1050="","",LOWER(TEXT(A1050,"[$-es-ES]mmmm"))&amp;" "&amp;YEAR(A1050))</f>
        <v/>
      </c>
      <c r="G1050" s="8"/>
    </row>
    <row r="1051" spans="1:7">
      <c r="A1051" s="7"/>
      <c r="B1051" s="6" t="str">
        <f>IF(A1051="","",LOWER(TEXT(A1051,"[$-es-ES]mmmm"))&amp;" "&amp;YEAR(A1051))</f>
        <v/>
      </c>
      <c r="G1051" s="8"/>
    </row>
    <row r="1052" spans="1:7">
      <c r="A1052" s="7"/>
      <c r="B1052" s="6" t="str">
        <f>IF(A1052="","",LOWER(TEXT(A1052,"[$-es-ES]mmmm"))&amp;" "&amp;YEAR(A1052))</f>
        <v/>
      </c>
      <c r="G1052" s="8"/>
    </row>
    <row r="1053" spans="1:7">
      <c r="A1053" s="7"/>
      <c r="B1053" s="6" t="str">
        <f>IF(A1053="","",LOWER(TEXT(A1053,"[$-es-ES]mmmm"))&amp;" "&amp;YEAR(A1053))</f>
        <v/>
      </c>
      <c r="G1053" s="8"/>
    </row>
    <row r="1054" spans="1:7">
      <c r="A1054" s="7"/>
      <c r="B1054" s="6" t="str">
        <f>IF(A1054="","",LOWER(TEXT(A1054,"[$-es-ES]mmmm"))&amp;" "&amp;YEAR(A1054))</f>
        <v/>
      </c>
      <c r="G1054" s="8"/>
    </row>
    <row r="1055" spans="1:7">
      <c r="A1055" s="7"/>
      <c r="B1055" s="6" t="str">
        <f>IF(A1055="","",LOWER(TEXT(A1055,"[$-es-ES]mmmm"))&amp;" "&amp;YEAR(A1055))</f>
        <v/>
      </c>
      <c r="G1055" s="8"/>
    </row>
    <row r="1056" spans="1:7">
      <c r="A1056" s="7"/>
      <c r="B1056" s="6" t="str">
        <f>IF(A1056="","",LOWER(TEXT(A1056,"[$-es-ES]mmmm"))&amp;" "&amp;YEAR(A1056))</f>
        <v/>
      </c>
      <c r="G1056" s="8"/>
    </row>
    <row r="1057" spans="1:7">
      <c r="A1057" s="7"/>
      <c r="B1057" s="6" t="str">
        <f>IF(A1057="","",LOWER(TEXT(A1057,"[$-es-ES]mmmm"))&amp;" "&amp;YEAR(A1057))</f>
        <v/>
      </c>
      <c r="G1057" s="8"/>
    </row>
    <row r="1058" spans="1:7">
      <c r="A1058" s="7"/>
      <c r="B1058" s="6" t="str">
        <f>IF(A1058="","",LOWER(TEXT(A1058,"[$-es-ES]mmmm"))&amp;" "&amp;YEAR(A1058))</f>
        <v/>
      </c>
      <c r="G1058" s="8"/>
    </row>
    <row r="1059" spans="1:7">
      <c r="A1059" s="7"/>
      <c r="B1059" s="6" t="str">
        <f>IF(A1059="","",LOWER(TEXT(A1059,"[$-es-ES]mmmm"))&amp;" "&amp;YEAR(A1059))</f>
        <v/>
      </c>
      <c r="G1059" s="8"/>
    </row>
    <row r="1060" spans="1:7">
      <c r="A1060" s="7"/>
      <c r="B1060" s="6" t="str">
        <f>IF(A1060="","",LOWER(TEXT(A1060,"[$-es-ES]mmmm"))&amp;" "&amp;YEAR(A1060))</f>
        <v/>
      </c>
      <c r="G1060" s="8"/>
    </row>
    <row r="1061" spans="1:7">
      <c r="A1061" s="7"/>
      <c r="B1061" s="6" t="str">
        <f>IF(A1061="","",LOWER(TEXT(A1061,"[$-es-ES]mmmm"))&amp;" "&amp;YEAR(A1061))</f>
        <v/>
      </c>
      <c r="G1061" s="8"/>
    </row>
    <row r="1062" spans="1:7">
      <c r="A1062" s="7"/>
      <c r="B1062" s="6" t="str">
        <f>IF(A1062="","",LOWER(TEXT(A1062,"[$-es-ES]mmmm"))&amp;" "&amp;YEAR(A1062))</f>
        <v/>
      </c>
      <c r="G1062" s="8"/>
    </row>
    <row r="1063" spans="1:7">
      <c r="A1063" s="7"/>
      <c r="B1063" s="6" t="str">
        <f>IF(A1063="","",LOWER(TEXT(A1063,"[$-es-ES]mmmm"))&amp;" "&amp;YEAR(A1063))</f>
        <v/>
      </c>
      <c r="G1063" s="8"/>
    </row>
    <row r="1064" spans="1:7">
      <c r="A1064" s="7"/>
      <c r="B1064" s="6" t="str">
        <f>IF(A1064="","",LOWER(TEXT(A1064,"[$-es-ES]mmmm"))&amp;" "&amp;YEAR(A1064))</f>
        <v/>
      </c>
      <c r="G1064" s="8"/>
    </row>
    <row r="1065" spans="1:7">
      <c r="A1065" s="7"/>
      <c r="B1065" s="6" t="str">
        <f>IF(A1065="","",LOWER(TEXT(A1065,"[$-es-ES]mmmm"))&amp;" "&amp;YEAR(A1065))</f>
        <v/>
      </c>
      <c r="G1065" s="8"/>
    </row>
    <row r="1066" spans="1:7">
      <c r="A1066" s="7"/>
      <c r="B1066" s="6" t="str">
        <f>IF(A1066="","",LOWER(TEXT(A1066,"[$-es-ES]mmmm"))&amp;" "&amp;YEAR(A1066))</f>
        <v/>
      </c>
      <c r="G1066" s="8"/>
    </row>
    <row r="1067" spans="1:7">
      <c r="A1067" s="7"/>
      <c r="B1067" s="6" t="str">
        <f>IF(A1067="","",LOWER(TEXT(A1067,"[$-es-ES]mmmm"))&amp;" "&amp;YEAR(A1067))</f>
        <v/>
      </c>
      <c r="G1067" s="8"/>
    </row>
    <row r="1068" spans="1:7">
      <c r="A1068" s="7"/>
      <c r="B1068" s="6" t="str">
        <f>IF(A1068="","",LOWER(TEXT(A1068,"[$-es-ES]mmmm"))&amp;" "&amp;YEAR(A1068))</f>
        <v/>
      </c>
      <c r="G1068" s="8"/>
    </row>
    <row r="1069" spans="1:7">
      <c r="A1069" s="7"/>
      <c r="B1069" s="6" t="str">
        <f>IF(A1069="","",LOWER(TEXT(A1069,"[$-es-ES]mmmm"))&amp;" "&amp;YEAR(A1069))</f>
        <v/>
      </c>
      <c r="G1069" s="8"/>
    </row>
    <row r="1070" spans="1:7">
      <c r="A1070" s="7"/>
      <c r="B1070" s="6" t="str">
        <f>IF(A1070="","",LOWER(TEXT(A1070,"[$-es-ES]mmmm"))&amp;" "&amp;YEAR(A1070))</f>
        <v/>
      </c>
      <c r="G1070" s="8"/>
    </row>
    <row r="1071" spans="1:7">
      <c r="A1071" s="7"/>
      <c r="B1071" s="6" t="str">
        <f>IF(A1071="","",LOWER(TEXT(A1071,"[$-es-ES]mmmm"))&amp;" "&amp;YEAR(A1071))</f>
        <v/>
      </c>
      <c r="G1071" s="8"/>
    </row>
    <row r="1072" spans="1:7">
      <c r="A1072" s="7"/>
      <c r="B1072" s="6" t="str">
        <f>IF(A1072="","",LOWER(TEXT(A1072,"[$-es-ES]mmmm"))&amp;" "&amp;YEAR(A1072))</f>
        <v/>
      </c>
      <c r="G1072" s="8"/>
    </row>
    <row r="1073" spans="1:7">
      <c r="A1073" s="7"/>
      <c r="B1073" s="6" t="str">
        <f>IF(A1073="","",LOWER(TEXT(A1073,"[$-es-ES]mmmm"))&amp;" "&amp;YEAR(A1073))</f>
        <v/>
      </c>
      <c r="G1073" s="8"/>
    </row>
    <row r="1074" spans="1:7">
      <c r="A1074" s="7"/>
      <c r="B1074" s="6" t="str">
        <f>IF(A1074="","",LOWER(TEXT(A1074,"[$-es-ES]mmmm"))&amp;" "&amp;YEAR(A1074))</f>
        <v/>
      </c>
      <c r="G1074" s="8"/>
    </row>
    <row r="1075" spans="1:7">
      <c r="A1075" s="7"/>
      <c r="B1075" s="6" t="str">
        <f>IF(A1075="","",LOWER(TEXT(A1075,"[$-es-ES]mmmm"))&amp;" "&amp;YEAR(A1075))</f>
        <v/>
      </c>
      <c r="G1075" s="8"/>
    </row>
    <row r="1076" spans="1:7">
      <c r="A1076" s="7"/>
      <c r="B1076" s="6" t="str">
        <f>IF(A1076="","",LOWER(TEXT(A1076,"[$-es-ES]mmmm"))&amp;" "&amp;YEAR(A1076))</f>
        <v/>
      </c>
      <c r="G1076" s="8"/>
    </row>
    <row r="1077" spans="1:7">
      <c r="A1077" s="7"/>
      <c r="B1077" s="6" t="str">
        <f>IF(A1077="","",LOWER(TEXT(A1077,"[$-es-ES]mmmm"))&amp;" "&amp;YEAR(A1077))</f>
        <v/>
      </c>
      <c r="G1077" s="8"/>
    </row>
    <row r="1078" spans="1:7">
      <c r="A1078" s="7"/>
      <c r="B1078" s="6" t="str">
        <f>IF(A1078="","",LOWER(TEXT(A1078,"[$-es-ES]mmmm"))&amp;" "&amp;YEAR(A1078))</f>
        <v/>
      </c>
      <c r="G1078" s="8"/>
    </row>
    <row r="1079" spans="1:7">
      <c r="A1079" s="7"/>
      <c r="B1079" s="6" t="str">
        <f>IF(A1079="","",LOWER(TEXT(A1079,"[$-es-ES]mmmm"))&amp;" "&amp;YEAR(A1079))</f>
        <v/>
      </c>
      <c r="G1079" s="8"/>
    </row>
    <row r="1080" spans="1:7">
      <c r="A1080" s="7"/>
      <c r="B1080" s="6" t="str">
        <f>IF(A1080="","",LOWER(TEXT(A1080,"[$-es-ES]mmmm"))&amp;" "&amp;YEAR(A1080))</f>
        <v/>
      </c>
      <c r="G1080" s="8"/>
    </row>
    <row r="1081" spans="1:7">
      <c r="A1081" s="7"/>
      <c r="B1081" s="6" t="str">
        <f>IF(A1081="","",LOWER(TEXT(A1081,"[$-es-ES]mmmm"))&amp;" "&amp;YEAR(A1081))</f>
        <v/>
      </c>
      <c r="G1081" s="8"/>
    </row>
    <row r="1082" spans="1:7">
      <c r="A1082" s="7"/>
      <c r="B1082" s="6" t="str">
        <f>IF(A1082="","",LOWER(TEXT(A1082,"[$-es-ES]mmmm"))&amp;" "&amp;YEAR(A1082))</f>
        <v/>
      </c>
      <c r="G1082" s="8"/>
    </row>
    <row r="1083" spans="1:7">
      <c r="A1083" s="7"/>
      <c r="B1083" s="6" t="str">
        <f>IF(A1083="","",LOWER(TEXT(A1083,"[$-es-ES]mmmm"))&amp;" "&amp;YEAR(A1083))</f>
        <v/>
      </c>
      <c r="G1083" s="8"/>
    </row>
    <row r="1084" spans="1:7">
      <c r="A1084" s="7"/>
      <c r="B1084" s="6" t="str">
        <f>IF(A1084="","",LOWER(TEXT(A1084,"[$-es-ES]mmmm"))&amp;" "&amp;YEAR(A1084))</f>
        <v/>
      </c>
      <c r="G1084" s="8"/>
    </row>
    <row r="1085" spans="1:7">
      <c r="A1085" s="7"/>
      <c r="B1085" s="6" t="str">
        <f>IF(A1085="","",LOWER(TEXT(A1085,"[$-es-ES]mmmm"))&amp;" "&amp;YEAR(A1085))</f>
        <v/>
      </c>
      <c r="G1085" s="8"/>
    </row>
    <row r="1086" spans="1:7">
      <c r="A1086" s="7"/>
      <c r="B1086" s="6" t="str">
        <f>IF(A1086="","",LOWER(TEXT(A1086,"[$-es-ES]mmmm"))&amp;" "&amp;YEAR(A1086))</f>
        <v/>
      </c>
      <c r="G1086" s="8"/>
    </row>
    <row r="1087" spans="1:7">
      <c r="A1087" s="7"/>
      <c r="B1087" s="6" t="str">
        <f>IF(A1087="","",LOWER(TEXT(A1087,"[$-es-ES]mmmm"))&amp;" "&amp;YEAR(A1087))</f>
        <v/>
      </c>
      <c r="G1087" s="8"/>
    </row>
    <row r="1088" spans="1:7">
      <c r="A1088" s="7"/>
      <c r="B1088" s="6" t="str">
        <f>IF(A1088="","",LOWER(TEXT(A1088,"[$-es-ES]mmmm"))&amp;" "&amp;YEAR(A1088))</f>
        <v/>
      </c>
      <c r="G1088" s="8"/>
    </row>
    <row r="1089" spans="1:7">
      <c r="A1089" s="7"/>
      <c r="B1089" s="6" t="str">
        <f>IF(A1089="","",LOWER(TEXT(A1089,"[$-es-ES]mmmm"))&amp;" "&amp;YEAR(A1089))</f>
        <v/>
      </c>
      <c r="G1089" s="8"/>
    </row>
    <row r="1090" spans="1:7">
      <c r="A1090" s="7"/>
      <c r="B1090" s="6" t="str">
        <f>IF(A1090="","",LOWER(TEXT(A1090,"[$-es-ES]mmmm"))&amp;" "&amp;YEAR(A1090))</f>
        <v/>
      </c>
      <c r="G1090" s="8"/>
    </row>
    <row r="1091" spans="1:7">
      <c r="A1091" s="7"/>
      <c r="B1091" s="6" t="str">
        <f>IF(A1091="","",LOWER(TEXT(A1091,"[$-es-ES]mmmm"))&amp;" "&amp;YEAR(A1091))</f>
        <v/>
      </c>
      <c r="G1091" s="8"/>
    </row>
    <row r="1092" spans="1:7">
      <c r="A1092" s="7"/>
      <c r="B1092" s="6" t="str">
        <f>IF(A1092="","",LOWER(TEXT(A1092,"[$-es-ES]mmmm"))&amp;" "&amp;YEAR(A1092))</f>
        <v/>
      </c>
      <c r="G1092" s="8"/>
    </row>
    <row r="1093" spans="1:7">
      <c r="A1093" s="7"/>
      <c r="B1093" s="6" t="str">
        <f>IF(A1093="","",LOWER(TEXT(A1093,"[$-es-ES]mmmm"))&amp;" "&amp;YEAR(A1093))</f>
        <v/>
      </c>
      <c r="G1093" s="8"/>
    </row>
    <row r="1094" spans="1:7">
      <c r="A1094" s="7"/>
      <c r="B1094" s="6" t="str">
        <f>IF(A1094="","",LOWER(TEXT(A1094,"[$-es-ES]mmmm"))&amp;" "&amp;YEAR(A1094))</f>
        <v/>
      </c>
      <c r="G1094" s="8"/>
    </row>
    <row r="1095" spans="1:7">
      <c r="A1095" s="7"/>
      <c r="B1095" s="6" t="str">
        <f>IF(A1095="","",LOWER(TEXT(A1095,"[$-es-ES]mmmm"))&amp;" "&amp;YEAR(A1095))</f>
        <v/>
      </c>
      <c r="G1095" s="8"/>
    </row>
    <row r="1096" spans="1:7">
      <c r="A1096" s="7"/>
      <c r="B1096" s="6" t="str">
        <f>IF(A1096="","",LOWER(TEXT(A1096,"[$-es-ES]mmmm"))&amp;" "&amp;YEAR(A1096))</f>
        <v/>
      </c>
      <c r="G1096" s="8"/>
    </row>
    <row r="1097" spans="1:7">
      <c r="A1097" s="7"/>
      <c r="B1097" s="6" t="str">
        <f>IF(A1097="","",LOWER(TEXT(A1097,"[$-es-ES]mmmm"))&amp;" "&amp;YEAR(A1097))</f>
        <v/>
      </c>
      <c r="G1097" s="8"/>
    </row>
    <row r="1098" spans="1:7">
      <c r="A1098" s="7"/>
      <c r="B1098" s="6" t="str">
        <f>IF(A1098="","",LOWER(TEXT(A1098,"[$-es-ES]mmmm"))&amp;" "&amp;YEAR(A1098))</f>
        <v/>
      </c>
      <c r="G1098" s="8"/>
    </row>
    <row r="1099" spans="1:7">
      <c r="A1099" s="7"/>
      <c r="B1099" s="6" t="str">
        <f>IF(A1099="","",LOWER(TEXT(A1099,"[$-es-ES]mmmm"))&amp;" "&amp;YEAR(A1099))</f>
        <v/>
      </c>
      <c r="G1099" s="8"/>
    </row>
    <row r="1100" spans="1:7">
      <c r="A1100" s="7"/>
      <c r="B1100" s="6" t="str">
        <f>IF(A1100="","",LOWER(TEXT(A1100,"[$-es-ES]mmmm"))&amp;" "&amp;YEAR(A1100))</f>
        <v/>
      </c>
      <c r="G1100" s="8"/>
    </row>
    <row r="1101" spans="1:7">
      <c r="A1101" s="7"/>
      <c r="B1101" s="6" t="str">
        <f>IF(A1101="","",LOWER(TEXT(A1101,"[$-es-ES]mmmm"))&amp;" "&amp;YEAR(A1101))</f>
        <v/>
      </c>
      <c r="G1101" s="8"/>
    </row>
    <row r="1102" spans="1:7">
      <c r="A1102" s="7"/>
      <c r="B1102" s="6" t="str">
        <f>IF(A1102="","",LOWER(TEXT(A1102,"[$-es-ES]mmmm"))&amp;" "&amp;YEAR(A1102))</f>
        <v/>
      </c>
      <c r="G1102" s="8"/>
    </row>
    <row r="1103" spans="1:7">
      <c r="A1103" s="7"/>
      <c r="B1103" s="6" t="str">
        <f>IF(A1103="","",LOWER(TEXT(A1103,"[$-es-ES]mmmm"))&amp;" "&amp;YEAR(A1103))</f>
        <v/>
      </c>
      <c r="G1103" s="8"/>
    </row>
    <row r="1104" spans="1:7">
      <c r="A1104" s="7"/>
      <c r="B1104" s="6" t="str">
        <f>IF(A1104="","",LOWER(TEXT(A1104,"[$-es-ES]mmmm"))&amp;" "&amp;YEAR(A1104))</f>
        <v/>
      </c>
      <c r="G1104" s="8"/>
    </row>
    <row r="1105" spans="1:7">
      <c r="A1105" s="7"/>
      <c r="B1105" s="6" t="str">
        <f>IF(A1105="","",LOWER(TEXT(A1105,"[$-es-ES]mmmm"))&amp;" "&amp;YEAR(A1105))</f>
        <v/>
      </c>
      <c r="G1105" s="8"/>
    </row>
    <row r="1106" spans="1:7">
      <c r="A1106" s="7"/>
      <c r="B1106" s="6" t="str">
        <f>IF(A1106="","",LOWER(TEXT(A1106,"[$-es-ES]mmmm"))&amp;" "&amp;YEAR(A1106))</f>
        <v/>
      </c>
      <c r="G1106" s="8"/>
    </row>
    <row r="1107" spans="1:7">
      <c r="A1107" s="7"/>
      <c r="B1107" s="6" t="str">
        <f>IF(A1107="","",LOWER(TEXT(A1107,"[$-es-ES]mmmm"))&amp;" "&amp;YEAR(A1107))</f>
        <v/>
      </c>
      <c r="G1107" s="8"/>
    </row>
    <row r="1108" spans="1:7">
      <c r="A1108" s="7"/>
      <c r="B1108" s="6" t="str">
        <f>IF(A1108="","",LOWER(TEXT(A1108,"[$-es-ES]mmmm"))&amp;" "&amp;YEAR(A1108))</f>
        <v/>
      </c>
      <c r="G1108" s="8"/>
    </row>
    <row r="1109" spans="1:7">
      <c r="A1109" s="7"/>
      <c r="B1109" s="6" t="str">
        <f>IF(A1109="","",LOWER(TEXT(A1109,"[$-es-ES]mmmm"))&amp;" "&amp;YEAR(A1109))</f>
        <v/>
      </c>
      <c r="G1109" s="8"/>
    </row>
    <row r="1110" spans="1:7">
      <c r="A1110" s="7"/>
      <c r="B1110" s="6" t="str">
        <f>IF(A1110="","",LOWER(TEXT(A1110,"[$-es-ES]mmmm"))&amp;" "&amp;YEAR(A1110))</f>
        <v/>
      </c>
      <c r="G1110" s="8"/>
    </row>
    <row r="1111" spans="1:7">
      <c r="A1111" s="7"/>
      <c r="B1111" s="6" t="str">
        <f>IF(A1111="","",LOWER(TEXT(A1111,"[$-es-ES]mmmm"))&amp;" "&amp;YEAR(A1111))</f>
        <v/>
      </c>
      <c r="G1111" s="8"/>
    </row>
    <row r="1112" spans="1:7">
      <c r="A1112" s="7"/>
      <c r="B1112" s="6" t="str">
        <f>IF(A1112="","",LOWER(TEXT(A1112,"[$-es-ES]mmmm"))&amp;" "&amp;YEAR(A1112))</f>
        <v/>
      </c>
      <c r="G1112" s="8"/>
    </row>
    <row r="1113" spans="1:7">
      <c r="A1113" s="7"/>
      <c r="B1113" s="6" t="str">
        <f>IF(A1113="","",LOWER(TEXT(A1113,"[$-es-ES]mmmm"))&amp;" "&amp;YEAR(A1113))</f>
        <v/>
      </c>
      <c r="G1113" s="8"/>
    </row>
    <row r="1114" spans="1:7">
      <c r="A1114" s="7"/>
      <c r="B1114" s="6" t="str">
        <f>IF(A1114="","",LOWER(TEXT(A1114,"[$-es-ES]mmmm"))&amp;" "&amp;YEAR(A1114))</f>
        <v/>
      </c>
      <c r="G1114" s="8"/>
    </row>
    <row r="1115" spans="1:7">
      <c r="A1115" s="7"/>
      <c r="B1115" s="6" t="str">
        <f>IF(A1115="","",LOWER(TEXT(A1115,"[$-es-ES]mmmm"))&amp;" "&amp;YEAR(A1115))</f>
        <v/>
      </c>
      <c r="G1115" s="8"/>
    </row>
    <row r="1116" spans="1:7">
      <c r="A1116" s="7"/>
      <c r="B1116" s="6" t="str">
        <f>IF(A1116="","",LOWER(TEXT(A1116,"[$-es-ES]mmmm"))&amp;" "&amp;YEAR(A1116))</f>
        <v/>
      </c>
      <c r="G1116" s="8"/>
    </row>
    <row r="1117" spans="1:7">
      <c r="A1117" s="7"/>
      <c r="B1117" s="6" t="str">
        <f>IF(A1117="","",LOWER(TEXT(A1117,"[$-es-ES]mmmm"))&amp;" "&amp;YEAR(A1117))</f>
        <v/>
      </c>
      <c r="G1117" s="8"/>
    </row>
    <row r="1118" spans="1:7">
      <c r="A1118" s="7"/>
      <c r="B1118" s="6" t="str">
        <f>IF(A1118="","",LOWER(TEXT(A1118,"[$-es-ES]mmmm"))&amp;" "&amp;YEAR(A1118))</f>
        <v/>
      </c>
      <c r="G1118" s="8"/>
    </row>
    <row r="1119" spans="1:7">
      <c r="A1119" s="7"/>
      <c r="B1119" s="6" t="str">
        <f>IF(A1119="","",LOWER(TEXT(A1119,"[$-es-ES]mmmm"))&amp;" "&amp;YEAR(A1119))</f>
        <v/>
      </c>
      <c r="G1119" s="8"/>
    </row>
    <row r="1120" spans="1:7">
      <c r="A1120" s="7"/>
      <c r="B1120" s="6" t="str">
        <f>IF(A1120="","",LOWER(TEXT(A1120,"[$-es-ES]mmmm"))&amp;" "&amp;YEAR(A1120))</f>
        <v/>
      </c>
      <c r="G1120" s="8"/>
    </row>
    <row r="1121" spans="1:7">
      <c r="A1121" s="7"/>
      <c r="B1121" s="6" t="str">
        <f>IF(A1121="","",LOWER(TEXT(A1121,"[$-es-ES]mmmm"))&amp;" "&amp;YEAR(A1121))</f>
        <v/>
      </c>
      <c r="G1121" s="8"/>
    </row>
    <row r="1122" spans="1:7">
      <c r="A1122" s="7"/>
      <c r="B1122" s="6" t="str">
        <f>IF(A1122="","",LOWER(TEXT(A1122,"[$-es-ES]mmmm"))&amp;" "&amp;YEAR(A1122))</f>
        <v/>
      </c>
      <c r="G1122" s="8"/>
    </row>
    <row r="1123" spans="1:7">
      <c r="A1123" s="7"/>
      <c r="B1123" s="6" t="str">
        <f>IF(A1123="","",LOWER(TEXT(A1123,"[$-es-ES]mmmm"))&amp;" "&amp;YEAR(A1123))</f>
        <v/>
      </c>
      <c r="G1123" s="8"/>
    </row>
    <row r="1124" spans="1:7">
      <c r="A1124" s="7"/>
      <c r="B1124" s="6" t="str">
        <f>IF(A1124="","",LOWER(TEXT(A1124,"[$-es-ES]mmmm"))&amp;" "&amp;YEAR(A1124))</f>
        <v/>
      </c>
      <c r="G1124" s="8"/>
    </row>
    <row r="1125" spans="1:7">
      <c r="A1125" s="7"/>
      <c r="B1125" s="6" t="str">
        <f>IF(A1125="","",LOWER(TEXT(A1125,"[$-es-ES]mmmm"))&amp;" "&amp;YEAR(A1125))</f>
        <v/>
      </c>
      <c r="G1125" s="8"/>
    </row>
    <row r="1126" spans="1:7">
      <c r="A1126" s="7"/>
      <c r="B1126" s="6" t="str">
        <f>IF(A1126="","",LOWER(TEXT(A1126,"[$-es-ES]mmmm"))&amp;" "&amp;YEAR(A1126))</f>
        <v/>
      </c>
      <c r="G1126" s="8"/>
    </row>
    <row r="1127" spans="1:7">
      <c r="A1127" s="7"/>
      <c r="B1127" s="6" t="str">
        <f>IF(A1127="","",LOWER(TEXT(A1127,"[$-es-ES]mmmm"))&amp;" "&amp;YEAR(A1127))</f>
        <v/>
      </c>
      <c r="G1127" s="8"/>
    </row>
    <row r="1128" spans="1:7">
      <c r="A1128" s="7"/>
      <c r="B1128" s="6" t="str">
        <f>IF(A1128="","",LOWER(TEXT(A1128,"[$-es-ES]mmmm"))&amp;" "&amp;YEAR(A1128))</f>
        <v/>
      </c>
      <c r="G1128" s="8"/>
    </row>
    <row r="1129" spans="1:7">
      <c r="A1129" s="7"/>
      <c r="B1129" s="6" t="str">
        <f>IF(A1129="","",LOWER(TEXT(A1129,"[$-es-ES]mmmm"))&amp;" "&amp;YEAR(A1129))</f>
        <v/>
      </c>
      <c r="G1129" s="8"/>
    </row>
    <row r="1130" spans="1:7">
      <c r="A1130" s="7"/>
      <c r="B1130" s="6" t="str">
        <f>IF(A1130="","",LOWER(TEXT(A1130,"[$-es-ES]mmmm"))&amp;" "&amp;YEAR(A1130))</f>
        <v/>
      </c>
      <c r="G1130" s="8"/>
    </row>
    <row r="1131" spans="1:7">
      <c r="A1131" s="7"/>
      <c r="B1131" s="6" t="str">
        <f>IF(A1131="","",LOWER(TEXT(A1131,"[$-es-ES]mmmm"))&amp;" "&amp;YEAR(A1131))</f>
        <v/>
      </c>
      <c r="G1131" s="8"/>
    </row>
    <row r="1132" spans="1:7">
      <c r="A1132" s="7"/>
      <c r="B1132" s="6" t="str">
        <f>IF(A1132="","",LOWER(TEXT(A1132,"[$-es-ES]mmmm"))&amp;" "&amp;YEAR(A1132))</f>
        <v/>
      </c>
      <c r="G1132" s="8"/>
    </row>
    <row r="1133" spans="1:7">
      <c r="A1133" s="7"/>
      <c r="B1133" s="6" t="str">
        <f>IF(A1133="","",LOWER(TEXT(A1133,"[$-es-ES]mmmm"))&amp;" "&amp;YEAR(A1133))</f>
        <v/>
      </c>
      <c r="G1133" s="8"/>
    </row>
    <row r="1134" spans="1:7">
      <c r="A1134" s="7"/>
      <c r="B1134" s="6" t="str">
        <f>IF(A1134="","",LOWER(TEXT(A1134,"[$-es-ES]mmmm"))&amp;" "&amp;YEAR(A1134))</f>
        <v/>
      </c>
      <c r="G1134" s="8"/>
    </row>
    <row r="1135" spans="1:7">
      <c r="A1135" s="7"/>
      <c r="B1135" s="6" t="str">
        <f>IF(A1135="","",LOWER(TEXT(A1135,"[$-es-ES]mmmm"))&amp;" "&amp;YEAR(A1135))</f>
        <v/>
      </c>
      <c r="G1135" s="8"/>
    </row>
    <row r="1136" spans="1:7">
      <c r="A1136" s="7"/>
      <c r="B1136" s="6" t="str">
        <f>IF(A1136="","",LOWER(TEXT(A1136,"[$-es-ES]mmmm"))&amp;" "&amp;YEAR(A1136))</f>
        <v/>
      </c>
      <c r="G1136" s="8"/>
    </row>
    <row r="1137" spans="1:7">
      <c r="A1137" s="7"/>
      <c r="B1137" s="6" t="str">
        <f>IF(A1137="","",LOWER(TEXT(A1137,"[$-es-ES]mmmm"))&amp;" "&amp;YEAR(A1137))</f>
        <v/>
      </c>
      <c r="G1137" s="8"/>
    </row>
    <row r="1138" spans="1:7">
      <c r="A1138" s="7"/>
      <c r="B1138" s="6" t="str">
        <f>IF(A1138="","",LOWER(TEXT(A1138,"[$-es-ES]mmmm"))&amp;" "&amp;YEAR(A1138))</f>
        <v/>
      </c>
      <c r="G1138" s="8"/>
    </row>
    <row r="1139" spans="1:7">
      <c r="A1139" s="7"/>
      <c r="B1139" s="6" t="str">
        <f>IF(A1139="","",LOWER(TEXT(A1139,"[$-es-ES]mmmm"))&amp;" "&amp;YEAR(A1139))</f>
        <v/>
      </c>
      <c r="G1139" s="8"/>
    </row>
    <row r="1140" spans="1:7">
      <c r="A1140" s="7"/>
      <c r="B1140" s="6" t="str">
        <f>IF(A1140="","",LOWER(TEXT(A1140,"[$-es-ES]mmmm"))&amp;" "&amp;YEAR(A1140))</f>
        <v/>
      </c>
      <c r="G1140" s="8"/>
    </row>
    <row r="1141" spans="1:7">
      <c r="A1141" s="7"/>
      <c r="B1141" s="6" t="str">
        <f>IF(A1141="","",LOWER(TEXT(A1141,"[$-es-ES]mmmm"))&amp;" "&amp;YEAR(A1141))</f>
        <v/>
      </c>
      <c r="G1141" s="8"/>
    </row>
    <row r="1142" spans="1:7">
      <c r="A1142" s="7"/>
      <c r="B1142" s="6" t="str">
        <f>IF(A1142="","",LOWER(TEXT(A1142,"[$-es-ES]mmmm"))&amp;" "&amp;YEAR(A1142))</f>
        <v/>
      </c>
      <c r="G1142" s="8"/>
    </row>
    <row r="1143" spans="1:7">
      <c r="A1143" s="7"/>
      <c r="B1143" s="6" t="str">
        <f>IF(A1143="","",LOWER(TEXT(A1143,"[$-es-ES]mmmm"))&amp;" "&amp;YEAR(A1143))</f>
        <v/>
      </c>
      <c r="G1143" s="8"/>
    </row>
    <row r="1144" spans="1:7">
      <c r="A1144" s="7"/>
      <c r="B1144" s="6" t="str">
        <f>IF(A1144="","",LOWER(TEXT(A1144,"[$-es-ES]mmmm"))&amp;" "&amp;YEAR(A1144))</f>
        <v/>
      </c>
      <c r="G1144" s="8"/>
    </row>
    <row r="1145" spans="1:7">
      <c r="A1145" s="7"/>
      <c r="B1145" s="6" t="str">
        <f>IF(A1145="","",LOWER(TEXT(A1145,"[$-es-ES]mmmm"))&amp;" "&amp;YEAR(A1145))</f>
        <v/>
      </c>
      <c r="G1145" s="8"/>
    </row>
    <row r="1146" spans="1:7">
      <c r="A1146" s="7"/>
      <c r="B1146" s="6" t="str">
        <f>IF(A1146="","",LOWER(TEXT(A1146,"[$-es-ES]mmmm"))&amp;" "&amp;YEAR(A1146))</f>
        <v/>
      </c>
      <c r="G1146" s="8"/>
    </row>
    <row r="1147" spans="1:7">
      <c r="A1147" s="7"/>
      <c r="B1147" s="6" t="str">
        <f>IF(A1147="","",LOWER(TEXT(A1147,"[$-es-ES]mmmm"))&amp;" "&amp;YEAR(A1147))</f>
        <v/>
      </c>
      <c r="G1147" s="8"/>
    </row>
    <row r="1148" spans="1:7">
      <c r="A1148" s="7"/>
      <c r="B1148" s="6" t="str">
        <f>IF(A1148="","",LOWER(TEXT(A1148,"[$-es-ES]mmmm"))&amp;" "&amp;YEAR(A1148))</f>
        <v/>
      </c>
      <c r="G1148" s="8"/>
    </row>
    <row r="1149" spans="1:7">
      <c r="A1149" s="7"/>
      <c r="B1149" s="6" t="str">
        <f>IF(A1149="","",LOWER(TEXT(A1149,"[$-es-ES]mmmm"))&amp;" "&amp;YEAR(A1149))</f>
        <v/>
      </c>
      <c r="G1149" s="8"/>
    </row>
    <row r="1150" spans="1:7">
      <c r="A1150" s="7"/>
      <c r="B1150" s="6" t="str">
        <f>IF(A1150="","",LOWER(TEXT(A1150,"[$-es-ES]mmmm"))&amp;" "&amp;YEAR(A1150))</f>
        <v/>
      </c>
      <c r="G1150" s="8"/>
    </row>
    <row r="1151" spans="1:7">
      <c r="A1151" s="7"/>
      <c r="B1151" s="6" t="str">
        <f>IF(A1151="","",LOWER(TEXT(A1151,"[$-es-ES]mmmm"))&amp;" "&amp;YEAR(A1151))</f>
        <v/>
      </c>
      <c r="G1151" s="8"/>
    </row>
    <row r="1152" spans="1:7">
      <c r="A1152" s="7"/>
      <c r="B1152" s="6" t="str">
        <f>IF(A1152="","",LOWER(TEXT(A1152,"[$-es-ES]mmmm"))&amp;" "&amp;YEAR(A1152))</f>
        <v/>
      </c>
      <c r="G1152" s="8"/>
    </row>
    <row r="1153" spans="1:7">
      <c r="A1153" s="7"/>
      <c r="B1153" s="6" t="str">
        <f>IF(A1153="","",LOWER(TEXT(A1153,"[$-es-ES]mmmm"))&amp;" "&amp;YEAR(A1153))</f>
        <v/>
      </c>
      <c r="G1153" s="8"/>
    </row>
    <row r="1154" spans="1:7">
      <c r="A1154" s="7"/>
      <c r="B1154" s="6" t="str">
        <f>IF(A1154="","",LOWER(TEXT(A1154,"[$-es-ES]mmmm"))&amp;" "&amp;YEAR(A1154))</f>
        <v/>
      </c>
      <c r="G1154" s="8"/>
    </row>
    <row r="1155" spans="1:7">
      <c r="A1155" s="7"/>
      <c r="B1155" s="6" t="str">
        <f>IF(A1155="","",LOWER(TEXT(A1155,"[$-es-ES]mmmm"))&amp;" "&amp;YEAR(A1155))</f>
        <v/>
      </c>
      <c r="G1155" s="8"/>
    </row>
    <row r="1156" spans="1:7">
      <c r="A1156" s="7"/>
      <c r="B1156" s="6" t="str">
        <f>IF(A1156="","",LOWER(TEXT(A1156,"[$-es-ES]mmmm"))&amp;" "&amp;YEAR(A1156))</f>
        <v/>
      </c>
      <c r="G1156" s="8"/>
    </row>
    <row r="1157" spans="1:7">
      <c r="A1157" s="7"/>
      <c r="B1157" s="6" t="str">
        <f>IF(A1157="","",LOWER(TEXT(A1157,"[$-es-ES]mmmm"))&amp;" "&amp;YEAR(A1157))</f>
        <v/>
      </c>
      <c r="G1157" s="8"/>
    </row>
    <row r="1158" spans="1:7">
      <c r="A1158" s="7"/>
      <c r="B1158" s="6" t="str">
        <f>IF(A1158="","",LOWER(TEXT(A1158,"[$-es-ES]mmmm"))&amp;" "&amp;YEAR(A1158))</f>
        <v/>
      </c>
      <c r="G1158" s="8"/>
    </row>
    <row r="1159" spans="1:7">
      <c r="A1159" s="7"/>
      <c r="B1159" s="6" t="str">
        <f>IF(A1159="","",LOWER(TEXT(A1159,"[$-es-ES]mmmm"))&amp;" "&amp;YEAR(A1159))</f>
        <v/>
      </c>
      <c r="G1159" s="8"/>
    </row>
    <row r="1160" spans="1:7">
      <c r="A1160" s="7"/>
      <c r="B1160" s="6" t="str">
        <f>IF(A1160="","",LOWER(TEXT(A1160,"[$-es-ES]mmmm"))&amp;" "&amp;YEAR(A1160))</f>
        <v/>
      </c>
      <c r="G1160" s="8"/>
    </row>
    <row r="1161" spans="1:7">
      <c r="A1161" s="7"/>
      <c r="B1161" s="6" t="str">
        <f>IF(A1161="","",LOWER(TEXT(A1161,"[$-es-ES]mmmm"))&amp;" "&amp;YEAR(A1161))</f>
        <v/>
      </c>
      <c r="G1161" s="8"/>
    </row>
    <row r="1162" spans="1:7">
      <c r="A1162" s="7"/>
      <c r="B1162" s="6" t="str">
        <f>IF(A1162="","",LOWER(TEXT(A1162,"[$-es-ES]mmmm"))&amp;" "&amp;YEAR(A1162))</f>
        <v/>
      </c>
      <c r="G1162" s="8"/>
    </row>
    <row r="1163" spans="1:7">
      <c r="A1163" s="7"/>
      <c r="B1163" s="6" t="str">
        <f>IF(A1163="","",LOWER(TEXT(A1163,"[$-es-ES]mmmm"))&amp;" "&amp;YEAR(A1163))</f>
        <v/>
      </c>
      <c r="G1163" s="8"/>
    </row>
    <row r="1164" spans="1:7">
      <c r="A1164" s="7"/>
      <c r="B1164" s="6" t="str">
        <f>IF(A1164="","",LOWER(TEXT(A1164,"[$-es-ES]mmmm"))&amp;" "&amp;YEAR(A1164))</f>
        <v/>
      </c>
      <c r="G1164" s="8"/>
    </row>
    <row r="1165" spans="1:7">
      <c r="A1165" s="7"/>
      <c r="B1165" s="6" t="str">
        <f>IF(A1165="","",LOWER(TEXT(A1165,"[$-es-ES]mmmm"))&amp;" "&amp;YEAR(A1165))</f>
        <v/>
      </c>
      <c r="G1165" s="8"/>
    </row>
    <row r="1166" spans="1:7">
      <c r="A1166" s="7"/>
      <c r="B1166" s="6" t="str">
        <f>IF(A1166="","",LOWER(TEXT(A1166,"[$-es-ES]mmmm"))&amp;" "&amp;YEAR(A1166))</f>
        <v/>
      </c>
      <c r="G1166" s="8"/>
    </row>
    <row r="1167" spans="1:7">
      <c r="A1167" s="7"/>
      <c r="B1167" s="6" t="str">
        <f>IF(A1167="","",LOWER(TEXT(A1167,"[$-es-ES]mmmm"))&amp;" "&amp;YEAR(A1167))</f>
        <v/>
      </c>
      <c r="G1167" s="8"/>
    </row>
    <row r="1168" spans="1:7">
      <c r="A1168" s="7"/>
      <c r="B1168" s="6" t="str">
        <f>IF(A1168="","",LOWER(TEXT(A1168,"[$-es-ES]mmmm"))&amp;" "&amp;YEAR(A1168))</f>
        <v/>
      </c>
      <c r="G1168" s="8"/>
    </row>
    <row r="1169" spans="1:7">
      <c r="A1169" s="7"/>
      <c r="B1169" s="6" t="str">
        <f>IF(A1169="","",LOWER(TEXT(A1169,"[$-es-ES]mmmm"))&amp;" "&amp;YEAR(A1169))</f>
        <v/>
      </c>
      <c r="G1169" s="8"/>
    </row>
    <row r="1170" spans="1:7">
      <c r="A1170" s="7"/>
      <c r="B1170" s="6" t="str">
        <f>IF(A1170="","",LOWER(TEXT(A1170,"[$-es-ES]mmmm"))&amp;" "&amp;YEAR(A1170))</f>
        <v/>
      </c>
      <c r="G1170" s="8"/>
    </row>
    <row r="1171" spans="1:7">
      <c r="A1171" s="7"/>
      <c r="B1171" s="6" t="str">
        <f>IF(A1171="","",LOWER(TEXT(A1171,"[$-es-ES]mmmm"))&amp;" "&amp;YEAR(A1171))</f>
        <v/>
      </c>
      <c r="G1171" s="8"/>
    </row>
    <row r="1172" spans="1:7">
      <c r="A1172" s="7"/>
      <c r="B1172" s="6" t="str">
        <f>IF(A1172="","",LOWER(TEXT(A1172,"[$-es-ES]mmmm"))&amp;" "&amp;YEAR(A1172))</f>
        <v/>
      </c>
      <c r="G1172" s="8"/>
    </row>
    <row r="1173" spans="1:7">
      <c r="A1173" s="7"/>
      <c r="B1173" s="6" t="str">
        <f>IF(A1173="","",LOWER(TEXT(A1173,"[$-es-ES]mmmm"))&amp;" "&amp;YEAR(A1173))</f>
        <v/>
      </c>
      <c r="G1173" s="8"/>
    </row>
    <row r="1174" spans="1:7">
      <c r="A1174" s="7"/>
      <c r="B1174" s="6" t="str">
        <f>IF(A1174="","",LOWER(TEXT(A1174,"[$-es-ES]mmmm"))&amp;" "&amp;YEAR(A1174))</f>
        <v/>
      </c>
      <c r="G1174" s="8"/>
    </row>
    <row r="1175" spans="1:7">
      <c r="A1175" s="7"/>
      <c r="B1175" s="6" t="str">
        <f>IF(A1175="","",LOWER(TEXT(A1175,"[$-es-ES]mmmm"))&amp;" "&amp;YEAR(A1175))</f>
        <v/>
      </c>
      <c r="G1175" s="8"/>
    </row>
    <row r="1176" spans="1:7">
      <c r="A1176" s="7"/>
      <c r="B1176" s="6" t="str">
        <f>IF(A1176="","",LOWER(TEXT(A1176,"[$-es-ES]mmmm"))&amp;" "&amp;YEAR(A1176))</f>
        <v/>
      </c>
      <c r="G1176" s="8"/>
    </row>
    <row r="1177" spans="1:7">
      <c r="A1177" s="7"/>
      <c r="B1177" s="6" t="str">
        <f>IF(A1177="","",LOWER(TEXT(A1177,"[$-es-ES]mmmm"))&amp;" "&amp;YEAR(A1177))</f>
        <v/>
      </c>
      <c r="G1177" s="8"/>
    </row>
    <row r="1178" spans="1:7">
      <c r="A1178" s="7"/>
      <c r="B1178" s="6" t="str">
        <f>IF(A1178="","",LOWER(TEXT(A1178,"[$-es-ES]mmmm"))&amp;" "&amp;YEAR(A1178))</f>
        <v/>
      </c>
      <c r="G1178" s="8"/>
    </row>
    <row r="1179" spans="1:7">
      <c r="A1179" s="7"/>
      <c r="B1179" s="6" t="str">
        <f>IF(A1179="","",LOWER(TEXT(A1179,"[$-es-ES]mmmm"))&amp;" "&amp;YEAR(A1179))</f>
        <v/>
      </c>
      <c r="G1179" s="8"/>
    </row>
    <row r="1180" spans="1:7">
      <c r="A1180" s="7"/>
      <c r="B1180" s="6" t="str">
        <f>IF(A1180="","",LOWER(TEXT(A1180,"[$-es-ES]mmmm"))&amp;" "&amp;YEAR(A1180))</f>
        <v/>
      </c>
      <c r="G1180" s="8"/>
    </row>
    <row r="1181" spans="1:7">
      <c r="A1181" s="7"/>
      <c r="B1181" s="6" t="str">
        <f>IF(A1181="","",LOWER(TEXT(A1181,"[$-es-ES]mmmm"))&amp;" "&amp;YEAR(A1181))</f>
        <v/>
      </c>
      <c r="G1181" s="8"/>
    </row>
    <row r="1182" spans="1:7">
      <c r="A1182" s="7"/>
      <c r="B1182" s="6" t="str">
        <f>IF(A1182="","",LOWER(TEXT(A1182,"[$-es-ES]mmmm"))&amp;" "&amp;YEAR(A1182))</f>
        <v/>
      </c>
      <c r="G1182" s="8"/>
    </row>
    <row r="1183" spans="1:7">
      <c r="A1183" s="7"/>
      <c r="B1183" s="6" t="str">
        <f>IF(A1183="","",LOWER(TEXT(A1183,"[$-es-ES]mmmm"))&amp;" "&amp;YEAR(A1183))</f>
        <v/>
      </c>
      <c r="G1183" s="8"/>
    </row>
    <row r="1184" spans="1:7">
      <c r="A1184" s="7"/>
      <c r="B1184" s="6" t="str">
        <f>IF(A1184="","",LOWER(TEXT(A1184,"[$-es-ES]mmmm"))&amp;" "&amp;YEAR(A1184))</f>
        <v/>
      </c>
      <c r="G1184" s="8"/>
    </row>
    <row r="1185" spans="1:7">
      <c r="A1185" s="7"/>
      <c r="B1185" s="6" t="str">
        <f>IF(A1185="","",LOWER(TEXT(A1185,"[$-es-ES]mmmm"))&amp;" "&amp;YEAR(A1185))</f>
        <v/>
      </c>
      <c r="G1185" s="8"/>
    </row>
    <row r="1186" spans="1:7">
      <c r="A1186" s="7"/>
      <c r="B1186" s="6" t="str">
        <f>IF(A1186="","",LOWER(TEXT(A1186,"[$-es-ES]mmmm"))&amp;" "&amp;YEAR(A1186))</f>
        <v/>
      </c>
      <c r="G1186" s="8"/>
    </row>
    <row r="1187" spans="1:7">
      <c r="A1187" s="7"/>
      <c r="B1187" s="6" t="str">
        <f>IF(A1187="","",LOWER(TEXT(A1187,"[$-es-ES]mmmm"))&amp;" "&amp;YEAR(A1187))</f>
        <v/>
      </c>
      <c r="G1187" s="8"/>
    </row>
    <row r="1188" spans="1:7">
      <c r="A1188" s="7"/>
      <c r="B1188" s="6" t="str">
        <f>IF(A1188="","",LOWER(TEXT(A1188,"[$-es-ES]mmmm"))&amp;" "&amp;YEAR(A1188))</f>
        <v/>
      </c>
      <c r="G1188" s="8"/>
    </row>
    <row r="1189" spans="1:7">
      <c r="A1189" s="7"/>
      <c r="B1189" s="6" t="str">
        <f>IF(A1189="","",LOWER(TEXT(A1189,"[$-es-ES]mmmm"))&amp;" "&amp;YEAR(A1189))</f>
        <v/>
      </c>
      <c r="G1189" s="8"/>
    </row>
    <row r="1190" spans="1:7">
      <c r="A1190" s="7"/>
      <c r="B1190" s="6" t="str">
        <f>IF(A1190="","",LOWER(TEXT(A1190,"[$-es-ES]mmmm"))&amp;" "&amp;YEAR(A1190))</f>
        <v/>
      </c>
      <c r="G1190" s="8"/>
    </row>
    <row r="1191" spans="1:7">
      <c r="A1191" s="7"/>
      <c r="B1191" s="6" t="str">
        <f>IF(A1191="","",LOWER(TEXT(A1191,"[$-es-ES]mmmm"))&amp;" "&amp;YEAR(A1191))</f>
        <v/>
      </c>
      <c r="G1191" s="8"/>
    </row>
    <row r="1192" spans="1:7">
      <c r="A1192" s="7"/>
      <c r="B1192" s="6" t="str">
        <f>IF(A1192="","",LOWER(TEXT(A1192,"[$-es-ES]mmmm"))&amp;" "&amp;YEAR(A1192))</f>
        <v/>
      </c>
      <c r="G1192" s="8"/>
    </row>
    <row r="1193" spans="1:7">
      <c r="A1193" s="7"/>
      <c r="B1193" s="6" t="str">
        <f>IF(A1193="","",LOWER(TEXT(A1193,"[$-es-ES]mmmm"))&amp;" "&amp;YEAR(A1193))</f>
        <v/>
      </c>
      <c r="G1193" s="8"/>
    </row>
    <row r="1194" spans="1:7">
      <c r="A1194" s="7"/>
      <c r="B1194" s="6" t="str">
        <f>IF(A1194="","",LOWER(TEXT(A1194,"[$-es-ES]mmmm"))&amp;" "&amp;YEAR(A1194))</f>
        <v/>
      </c>
      <c r="G1194" s="8"/>
    </row>
    <row r="1195" spans="1:7">
      <c r="A1195" s="7"/>
      <c r="B1195" s="6" t="str">
        <f>IF(A1195="","",LOWER(TEXT(A1195,"[$-es-ES]mmmm"))&amp;" "&amp;YEAR(A1195))</f>
        <v/>
      </c>
      <c r="G1195" s="8"/>
    </row>
    <row r="1196" spans="1:7">
      <c r="A1196" s="7"/>
      <c r="B1196" s="6" t="str">
        <f>IF(A1196="","",LOWER(TEXT(A1196,"[$-es-ES]mmmm"))&amp;" "&amp;YEAR(A1196))</f>
        <v/>
      </c>
      <c r="G1196" s="8"/>
    </row>
    <row r="1197" spans="1:7">
      <c r="A1197" s="7"/>
      <c r="B1197" s="6" t="str">
        <f>IF(A1197="","",LOWER(TEXT(A1197,"[$-es-ES]mmmm"))&amp;" "&amp;YEAR(A1197))</f>
        <v/>
      </c>
      <c r="G1197" s="8"/>
    </row>
    <row r="1198" spans="1:7">
      <c r="A1198" s="7"/>
      <c r="B1198" s="6" t="str">
        <f>IF(A1198="","",LOWER(TEXT(A1198,"[$-es-ES]mmmm"))&amp;" "&amp;YEAR(A1198))</f>
        <v/>
      </c>
      <c r="G1198" s="8"/>
    </row>
    <row r="1199" spans="1:7">
      <c r="A1199" s="7"/>
      <c r="B1199" s="6" t="str">
        <f>IF(A1199="","",LOWER(TEXT(A1199,"[$-es-ES]mmmm"))&amp;" "&amp;YEAR(A1199))</f>
        <v/>
      </c>
      <c r="G1199" s="8"/>
    </row>
    <row r="1200" spans="1:7">
      <c r="A1200" s="7"/>
      <c r="B1200" s="6" t="str">
        <f>IF(A1200="","",LOWER(TEXT(A1200,"[$-es-ES]mmmm"))&amp;" "&amp;YEAR(A1200))</f>
        <v/>
      </c>
      <c r="G1200" s="8"/>
    </row>
    <row r="1201" spans="1:7">
      <c r="A1201" s="7"/>
      <c r="B1201" s="6" t="str">
        <f>IF(A1201="","",LOWER(TEXT(A1201,"[$-es-ES]mmmm"))&amp;" "&amp;YEAR(A1201))</f>
        <v/>
      </c>
      <c r="G1201" s="8"/>
    </row>
    <row r="1202" spans="1:7">
      <c r="A1202" s="7"/>
      <c r="B1202" s="6" t="str">
        <f>IF(A1202="","",LOWER(TEXT(A1202,"[$-es-ES]mmmm"))&amp;" "&amp;YEAR(A1202))</f>
        <v/>
      </c>
      <c r="G1202" s="8"/>
    </row>
    <row r="1203" spans="1:7">
      <c r="A1203" s="7"/>
      <c r="B1203" s="6" t="str">
        <f>IF(A1203="","",LOWER(TEXT(A1203,"[$-es-ES]mmmm"))&amp;" "&amp;YEAR(A1203))</f>
        <v/>
      </c>
      <c r="G1203" s="8"/>
    </row>
    <row r="1204" spans="1:7">
      <c r="A1204" s="7"/>
      <c r="B1204" s="6" t="str">
        <f>IF(A1204="","",LOWER(TEXT(A1204,"[$-es-ES]mmmm"))&amp;" "&amp;YEAR(A1204))</f>
        <v/>
      </c>
      <c r="G1204" s="8"/>
    </row>
    <row r="1205" spans="1:7">
      <c r="A1205" s="7"/>
      <c r="B1205" s="6" t="str">
        <f>IF(A1205="","",LOWER(TEXT(A1205,"[$-es-ES]mmmm"))&amp;" "&amp;YEAR(A1205))</f>
        <v/>
      </c>
      <c r="G1205" s="8"/>
    </row>
    <row r="1206" spans="1:7">
      <c r="A1206" s="7"/>
      <c r="B1206" s="6" t="str">
        <f>IF(A1206="","",LOWER(TEXT(A1206,"[$-es-ES]mmmm"))&amp;" "&amp;YEAR(A1206))</f>
        <v/>
      </c>
      <c r="G1206" s="8"/>
    </row>
    <row r="1207" spans="1:7">
      <c r="A1207" s="7"/>
      <c r="B1207" s="6" t="str">
        <f>IF(A1207="","",LOWER(TEXT(A1207,"[$-es-ES]mmmm"))&amp;" "&amp;YEAR(A1207))</f>
        <v/>
      </c>
      <c r="G1207" s="8"/>
    </row>
    <row r="1208" spans="1:7">
      <c r="A1208" s="7"/>
      <c r="B1208" s="6" t="str">
        <f>IF(A1208="","",LOWER(TEXT(A1208,"[$-es-ES]mmmm"))&amp;" "&amp;YEAR(A1208))</f>
        <v/>
      </c>
      <c r="G1208" s="8"/>
    </row>
    <row r="1209" spans="1:7">
      <c r="A1209" s="7"/>
      <c r="B1209" s="6" t="str">
        <f>IF(A1209="","",LOWER(TEXT(A1209,"[$-es-ES]mmmm"))&amp;" "&amp;YEAR(A1209))</f>
        <v/>
      </c>
      <c r="G1209" s="8"/>
    </row>
    <row r="1210" spans="1:7">
      <c r="A1210" s="7"/>
      <c r="B1210" s="6" t="str">
        <f>IF(A1210="","",LOWER(TEXT(A1210,"[$-es-ES]mmmm"))&amp;" "&amp;YEAR(A1210))</f>
        <v/>
      </c>
      <c r="G1210" s="8"/>
    </row>
    <row r="1211" spans="1:7">
      <c r="A1211" s="7"/>
      <c r="B1211" s="6" t="str">
        <f>IF(A1211="","",LOWER(TEXT(A1211,"[$-es-ES]mmmm"))&amp;" "&amp;YEAR(A1211))</f>
        <v/>
      </c>
      <c r="G1211" s="8"/>
    </row>
    <row r="1212" spans="1:7">
      <c r="A1212" s="7"/>
      <c r="B1212" s="6" t="str">
        <f>IF(A1212="","",LOWER(TEXT(A1212,"[$-es-ES]mmmm"))&amp;" "&amp;YEAR(A1212))</f>
        <v/>
      </c>
      <c r="G1212" s="8"/>
    </row>
    <row r="1213" spans="1:7">
      <c r="A1213" s="7"/>
      <c r="B1213" s="6" t="str">
        <f>IF(A1213="","",LOWER(TEXT(A1213,"[$-es-ES]mmmm"))&amp;" "&amp;YEAR(A1213))</f>
        <v/>
      </c>
      <c r="G1213" s="8"/>
    </row>
    <row r="1214" spans="1:7">
      <c r="A1214" s="7"/>
      <c r="B1214" s="6" t="str">
        <f>IF(A1214="","",LOWER(TEXT(A1214,"[$-es-ES]mmmm"))&amp;" "&amp;YEAR(A1214))</f>
        <v/>
      </c>
      <c r="G1214" s="8"/>
    </row>
    <row r="1215" spans="1:7">
      <c r="A1215" s="7"/>
      <c r="B1215" s="6" t="str">
        <f>IF(A1215="","",LOWER(TEXT(A1215,"[$-es-ES]mmmm"))&amp;" "&amp;YEAR(A1215))</f>
        <v/>
      </c>
      <c r="G1215" s="8"/>
    </row>
    <row r="1216" spans="1:7">
      <c r="A1216" s="7"/>
      <c r="B1216" s="6" t="str">
        <f>IF(A1216="","",LOWER(TEXT(A1216,"[$-es-ES]mmmm"))&amp;" "&amp;YEAR(A1216))</f>
        <v/>
      </c>
      <c r="G1216" s="8"/>
    </row>
    <row r="1217" spans="1:7">
      <c r="A1217" s="7"/>
      <c r="B1217" s="6" t="str">
        <f>IF(A1217="","",LOWER(TEXT(A1217,"[$-es-ES]mmmm"))&amp;" "&amp;YEAR(A1217))</f>
        <v/>
      </c>
      <c r="G1217" s="8"/>
    </row>
    <row r="1218" spans="1:7">
      <c r="A1218" s="7"/>
      <c r="B1218" s="6" t="str">
        <f>IF(A1218="","",LOWER(TEXT(A1218,"[$-es-ES]mmmm"))&amp;" "&amp;YEAR(A1218))</f>
        <v/>
      </c>
      <c r="G1218" s="8"/>
    </row>
    <row r="1219" spans="1:7">
      <c r="A1219" s="7"/>
      <c r="B1219" s="6" t="str">
        <f>IF(A1219="","",LOWER(TEXT(A1219,"[$-es-ES]mmmm"))&amp;" "&amp;YEAR(A1219))</f>
        <v/>
      </c>
      <c r="G1219" s="8"/>
    </row>
    <row r="1220" spans="1:7">
      <c r="A1220" s="7"/>
      <c r="B1220" s="6" t="str">
        <f>IF(A1220="","",LOWER(TEXT(A1220,"[$-es-ES]mmmm"))&amp;" "&amp;YEAR(A1220))</f>
        <v/>
      </c>
      <c r="G1220" s="8"/>
    </row>
    <row r="1221" spans="1:7">
      <c r="A1221" s="7"/>
      <c r="B1221" s="6" t="str">
        <f>IF(A1221="","",LOWER(TEXT(A1221,"[$-es-ES]mmmm"))&amp;" "&amp;YEAR(A1221))</f>
        <v/>
      </c>
      <c r="G1221" s="8"/>
    </row>
    <row r="1222" spans="1:7">
      <c r="A1222" s="7"/>
      <c r="B1222" s="6" t="str">
        <f>IF(A1222="","",LOWER(TEXT(A1222,"[$-es-ES]mmmm"))&amp;" "&amp;YEAR(A1222))</f>
        <v/>
      </c>
      <c r="G1222" s="8"/>
    </row>
    <row r="1223" spans="1:7">
      <c r="A1223" s="7"/>
      <c r="B1223" s="6" t="str">
        <f>IF(A1223="","",LOWER(TEXT(A1223,"[$-es-ES]mmmm"))&amp;" "&amp;YEAR(A1223))</f>
        <v/>
      </c>
      <c r="G1223" s="8"/>
    </row>
    <row r="1224" spans="1:7">
      <c r="A1224" s="7"/>
      <c r="B1224" s="6" t="str">
        <f>IF(A1224="","",LOWER(TEXT(A1224,"[$-es-ES]mmmm"))&amp;" "&amp;YEAR(A1224))</f>
        <v/>
      </c>
      <c r="G1224" s="8"/>
    </row>
    <row r="1225" spans="1:7">
      <c r="A1225" s="7"/>
      <c r="B1225" s="6" t="str">
        <f>IF(A1225="","",LOWER(TEXT(A1225,"[$-es-ES]mmmm"))&amp;" "&amp;YEAR(A1225))</f>
        <v/>
      </c>
      <c r="G1225" s="8"/>
    </row>
    <row r="1226" spans="1:7">
      <c r="A1226" s="7"/>
      <c r="B1226" s="6" t="str">
        <f>IF(A1226="","",LOWER(TEXT(A1226,"[$-es-ES]mmmm"))&amp;" "&amp;YEAR(A1226))</f>
        <v/>
      </c>
      <c r="G1226" s="8"/>
    </row>
    <row r="1227" spans="1:7">
      <c r="A1227" s="7"/>
      <c r="B1227" s="6" t="str">
        <f>IF(A1227="","",LOWER(TEXT(A1227,"[$-es-ES]mmmm"))&amp;" "&amp;YEAR(A1227))</f>
        <v/>
      </c>
      <c r="G1227" s="8"/>
    </row>
    <row r="1228" spans="1:7">
      <c r="A1228" s="7"/>
      <c r="B1228" s="6" t="str">
        <f>IF(A1228="","",LOWER(TEXT(A1228,"[$-es-ES]mmmm"))&amp;" "&amp;YEAR(A1228))</f>
        <v/>
      </c>
      <c r="G1228" s="8"/>
    </row>
    <row r="1229" spans="1:7">
      <c r="A1229" s="7"/>
      <c r="B1229" s="6" t="str">
        <f>IF(A1229="","",LOWER(TEXT(A1229,"[$-es-ES]mmmm"))&amp;" "&amp;YEAR(A1229))</f>
        <v/>
      </c>
      <c r="G1229" s="8"/>
    </row>
    <row r="1230" spans="1:7">
      <c r="A1230" s="7"/>
      <c r="B1230" s="6" t="str">
        <f>IF(A1230="","",LOWER(TEXT(A1230,"[$-es-ES]mmmm"))&amp;" "&amp;YEAR(A1230))</f>
        <v/>
      </c>
      <c r="G1230" s="8"/>
    </row>
    <row r="1231" spans="1:7">
      <c r="A1231" s="7"/>
      <c r="B1231" s="6" t="str">
        <f>IF(A1231="","",LOWER(TEXT(A1231,"[$-es-ES]mmmm"))&amp;" "&amp;YEAR(A1231))</f>
        <v/>
      </c>
      <c r="G1231" s="8"/>
    </row>
    <row r="1232" spans="1:7">
      <c r="A1232" s="7"/>
      <c r="B1232" s="6" t="str">
        <f>IF(A1232="","",LOWER(TEXT(A1232,"[$-es-ES]mmmm"))&amp;" "&amp;YEAR(A1232))</f>
        <v/>
      </c>
      <c r="G1232" s="8"/>
    </row>
    <row r="1233" spans="1:7">
      <c r="A1233" s="7"/>
      <c r="B1233" s="6" t="str">
        <f>IF(A1233="","",LOWER(TEXT(A1233,"[$-es-ES]mmmm"))&amp;" "&amp;YEAR(A1233))</f>
        <v/>
      </c>
      <c r="G1233" s="8"/>
    </row>
    <row r="1234" spans="1:7">
      <c r="A1234" s="7"/>
      <c r="B1234" s="6" t="str">
        <f>IF(A1234="","",LOWER(TEXT(A1234,"[$-es-ES]mmmm"))&amp;" "&amp;YEAR(A1234))</f>
        <v/>
      </c>
      <c r="G1234" s="8"/>
    </row>
    <row r="1235" spans="1:7">
      <c r="A1235" s="7"/>
      <c r="B1235" s="6" t="str">
        <f>IF(A1235="","",LOWER(TEXT(A1235,"[$-es-ES]mmmm"))&amp;" "&amp;YEAR(A1235))</f>
        <v/>
      </c>
      <c r="G1235" s="8"/>
    </row>
    <row r="1236" spans="1:7">
      <c r="A1236" s="7"/>
      <c r="B1236" s="6" t="str">
        <f>IF(A1236="","",LOWER(TEXT(A1236,"[$-es-ES]mmmm"))&amp;" "&amp;YEAR(A1236))</f>
        <v/>
      </c>
      <c r="G1236" s="8"/>
    </row>
    <row r="1237" spans="1:7">
      <c r="A1237" s="7"/>
      <c r="B1237" s="6" t="str">
        <f>IF(A1237="","",LOWER(TEXT(A1237,"[$-es-ES]mmmm"))&amp;" "&amp;YEAR(A1237))</f>
        <v/>
      </c>
      <c r="G1237" s="8"/>
    </row>
    <row r="1238" spans="1:7">
      <c r="A1238" s="7"/>
      <c r="B1238" s="6" t="str">
        <f>IF(A1238="","",LOWER(TEXT(A1238,"[$-es-ES]mmmm"))&amp;" "&amp;YEAR(A1238))</f>
        <v/>
      </c>
      <c r="G1238" s="8"/>
    </row>
    <row r="1239" spans="1:7">
      <c r="A1239" s="7"/>
      <c r="B1239" s="6" t="str">
        <f>IF(A1239="","",LOWER(TEXT(A1239,"[$-es-ES]mmmm"))&amp;" "&amp;YEAR(A1239))</f>
        <v/>
      </c>
      <c r="G1239" s="8"/>
    </row>
    <row r="1240" spans="1:7">
      <c r="A1240" s="7"/>
      <c r="B1240" s="6" t="str">
        <f>IF(A1240="","",LOWER(TEXT(A1240,"[$-es-ES]mmmm"))&amp;" "&amp;YEAR(A1240))</f>
        <v/>
      </c>
      <c r="G1240" s="8"/>
    </row>
    <row r="1241" spans="1:7">
      <c r="A1241" s="7"/>
      <c r="B1241" s="6" t="str">
        <f>IF(A1241="","",LOWER(TEXT(A1241,"[$-es-ES]mmmm"))&amp;" "&amp;YEAR(A1241))</f>
        <v/>
      </c>
      <c r="G1241" s="8"/>
    </row>
    <row r="1242" spans="1:7">
      <c r="A1242" s="7"/>
      <c r="B1242" s="6" t="str">
        <f>IF(A1242="","",LOWER(TEXT(A1242,"[$-es-ES]mmmm"))&amp;" "&amp;YEAR(A1242))</f>
        <v/>
      </c>
      <c r="G1242" s="8"/>
    </row>
    <row r="1243" spans="1:7">
      <c r="A1243" s="7"/>
      <c r="B1243" s="6" t="str">
        <f>IF(A1243="","",LOWER(TEXT(A1243,"[$-es-ES]mmmm"))&amp;" "&amp;YEAR(A1243))</f>
        <v/>
      </c>
      <c r="G1243" s="8"/>
    </row>
    <row r="1244" spans="1:7">
      <c r="A1244" s="7"/>
      <c r="B1244" s="6" t="str">
        <f>IF(A1244="","",LOWER(TEXT(A1244,"[$-es-ES]mmmm"))&amp;" "&amp;YEAR(A1244))</f>
        <v/>
      </c>
      <c r="G1244" s="8"/>
    </row>
    <row r="1245" spans="1:7">
      <c r="A1245" s="7"/>
      <c r="B1245" s="6" t="str">
        <f>IF(A1245="","",LOWER(TEXT(A1245,"[$-es-ES]mmmm"))&amp;" "&amp;YEAR(A1245))</f>
        <v/>
      </c>
      <c r="G1245" s="8"/>
    </row>
    <row r="1246" spans="1:7">
      <c r="A1246" s="7"/>
      <c r="B1246" s="6" t="str">
        <f>IF(A1246="","",LOWER(TEXT(A1246,"[$-es-ES]mmmm"))&amp;" "&amp;YEAR(A1246))</f>
        <v/>
      </c>
      <c r="G1246" s="8"/>
    </row>
    <row r="1247" spans="1:7">
      <c r="A1247" s="7"/>
      <c r="B1247" s="6" t="str">
        <f>IF(A1247="","",LOWER(TEXT(A1247,"[$-es-ES]mmmm"))&amp;" "&amp;YEAR(A1247))</f>
        <v/>
      </c>
      <c r="G1247" s="8"/>
    </row>
    <row r="1248" spans="1:7">
      <c r="A1248" s="7"/>
      <c r="B1248" s="6" t="str">
        <f>IF(A1248="","",LOWER(TEXT(A1248,"[$-es-ES]mmmm"))&amp;" "&amp;YEAR(A1248))</f>
        <v/>
      </c>
      <c r="G1248" s="8"/>
    </row>
    <row r="1249" spans="1:7">
      <c r="A1249" s="7"/>
      <c r="B1249" s="6" t="str">
        <f>IF(A1249="","",LOWER(TEXT(A1249,"[$-es-ES]mmmm"))&amp;" "&amp;YEAR(A1249))</f>
        <v/>
      </c>
      <c r="G1249" s="8"/>
    </row>
    <row r="1250" spans="1:7">
      <c r="A1250" s="7"/>
      <c r="B1250" s="6" t="str">
        <f>IF(A1250="","",LOWER(TEXT(A1250,"[$-es-ES]mmmm"))&amp;" "&amp;YEAR(A1250))</f>
        <v/>
      </c>
      <c r="G1250" s="8"/>
    </row>
    <row r="1251" spans="1:7">
      <c r="A1251" s="7"/>
      <c r="B1251" s="6" t="str">
        <f>IF(A1251="","",LOWER(TEXT(A1251,"[$-es-ES]mmmm"))&amp;" "&amp;YEAR(A1251))</f>
        <v/>
      </c>
      <c r="G1251" s="8"/>
    </row>
    <row r="1252" spans="1:7">
      <c r="A1252" s="7"/>
      <c r="B1252" s="6" t="str">
        <f>IF(A1252="","",LOWER(TEXT(A1252,"[$-es-ES]mmmm"))&amp;" "&amp;YEAR(A1252))</f>
        <v/>
      </c>
      <c r="G1252" s="8"/>
    </row>
    <row r="1253" spans="1:7">
      <c r="A1253" s="7"/>
      <c r="B1253" s="6" t="str">
        <f>IF(A1253="","",LOWER(TEXT(A1253,"[$-es-ES]mmmm"))&amp;" "&amp;YEAR(A1253))</f>
        <v/>
      </c>
      <c r="G1253" s="8"/>
    </row>
    <row r="1254" spans="1:7">
      <c r="A1254" s="7"/>
      <c r="B1254" s="6" t="str">
        <f>IF(A1254="","",LOWER(TEXT(A1254,"[$-es-ES]mmmm"))&amp;" "&amp;YEAR(A1254))</f>
        <v/>
      </c>
      <c r="G1254" s="8"/>
    </row>
    <row r="1255" spans="1:7">
      <c r="A1255" s="7"/>
      <c r="B1255" s="6" t="str">
        <f>IF(A1255="","",LOWER(TEXT(A1255,"[$-es-ES]mmmm"))&amp;" "&amp;YEAR(A1255))</f>
        <v/>
      </c>
      <c r="G1255" s="8"/>
    </row>
    <row r="1256" spans="1:7">
      <c r="A1256" s="7"/>
      <c r="B1256" s="6" t="str">
        <f>IF(A1256="","",LOWER(TEXT(A1256,"[$-es-ES]mmmm"))&amp;" "&amp;YEAR(A1256))</f>
        <v/>
      </c>
      <c r="G1256" s="8"/>
    </row>
    <row r="1257" spans="1:7">
      <c r="A1257" s="7"/>
      <c r="B1257" s="6" t="str">
        <f>IF(A1257="","",LOWER(TEXT(A1257,"[$-es-ES]mmmm"))&amp;" "&amp;YEAR(A1257))</f>
        <v/>
      </c>
      <c r="G1257" s="8"/>
    </row>
    <row r="1258" spans="1:7">
      <c r="A1258" s="7"/>
      <c r="B1258" s="6" t="str">
        <f>IF(A1258="","",LOWER(TEXT(A1258,"[$-es-ES]mmmm"))&amp;" "&amp;YEAR(A1258))</f>
        <v/>
      </c>
      <c r="G1258" s="8"/>
    </row>
    <row r="1259" spans="1:7">
      <c r="A1259" s="7"/>
      <c r="B1259" s="6" t="str">
        <f>IF(A1259="","",LOWER(TEXT(A1259,"[$-es-ES]mmmm"))&amp;" "&amp;YEAR(A1259))</f>
        <v/>
      </c>
      <c r="G1259" s="8"/>
    </row>
    <row r="1260" spans="1:7">
      <c r="A1260" s="7"/>
      <c r="B1260" s="6" t="str">
        <f>IF(A1260="","",LOWER(TEXT(A1260,"[$-es-ES]mmmm"))&amp;" "&amp;YEAR(A1260))</f>
        <v/>
      </c>
      <c r="G1260" s="8"/>
    </row>
    <row r="1261" spans="1:7">
      <c r="A1261" s="7"/>
      <c r="B1261" s="6" t="str">
        <f>IF(A1261="","",LOWER(TEXT(A1261,"[$-es-ES]mmmm"))&amp;" "&amp;YEAR(A1261))</f>
        <v/>
      </c>
      <c r="G1261" s="8"/>
    </row>
    <row r="1262" spans="1:7">
      <c r="A1262" s="7"/>
      <c r="B1262" s="6" t="str">
        <f>IF(A1262="","",LOWER(TEXT(A1262,"[$-es-ES]mmmm"))&amp;" "&amp;YEAR(A1262))</f>
        <v/>
      </c>
      <c r="G1262" s="8"/>
    </row>
    <row r="1263" spans="1:7">
      <c r="A1263" s="7"/>
      <c r="B1263" s="6" t="str">
        <f>IF(A1263="","",LOWER(TEXT(A1263,"[$-es-ES]mmmm"))&amp;" "&amp;YEAR(A1263))</f>
        <v/>
      </c>
      <c r="G1263" s="8"/>
    </row>
    <row r="1264" spans="1:7">
      <c r="A1264" s="7"/>
      <c r="B1264" s="6" t="str">
        <f>IF(A1264="","",LOWER(TEXT(A1264,"[$-es-ES]mmmm"))&amp;" "&amp;YEAR(A1264))</f>
        <v/>
      </c>
      <c r="G1264" s="8"/>
    </row>
    <row r="1265" spans="1:7">
      <c r="A1265" s="7"/>
      <c r="B1265" s="6" t="str">
        <f>IF(A1265="","",LOWER(TEXT(A1265,"[$-es-ES]mmmm"))&amp;" "&amp;YEAR(A1265))</f>
        <v/>
      </c>
      <c r="G1265" s="8"/>
    </row>
    <row r="1266" spans="1:7">
      <c r="A1266" s="7"/>
      <c r="B1266" s="6" t="str">
        <f>IF(A1266="","",LOWER(TEXT(A1266,"[$-es-ES]mmmm"))&amp;" "&amp;YEAR(A1266))</f>
        <v/>
      </c>
      <c r="G1266" s="8"/>
    </row>
    <row r="1267" spans="1:7">
      <c r="A1267" s="7"/>
      <c r="B1267" s="6" t="str">
        <f>IF(A1267="","",LOWER(TEXT(A1267,"[$-es-ES]mmmm"))&amp;" "&amp;YEAR(A1267))</f>
        <v/>
      </c>
      <c r="G1267" s="8"/>
    </row>
    <row r="1268" spans="1:7">
      <c r="A1268" s="7"/>
      <c r="B1268" s="6" t="str">
        <f>IF(A1268="","",LOWER(TEXT(A1268,"[$-es-ES]mmmm"))&amp;" "&amp;YEAR(A1268))</f>
        <v/>
      </c>
      <c r="G1268" s="8"/>
    </row>
    <row r="1269" spans="1:7">
      <c r="A1269" s="7"/>
      <c r="B1269" s="6" t="str">
        <f>IF(A1269="","",LOWER(TEXT(A1269,"[$-es-ES]mmmm"))&amp;" "&amp;YEAR(A1269))</f>
        <v/>
      </c>
      <c r="G1269" s="8"/>
    </row>
    <row r="1270" spans="1:7">
      <c r="A1270" s="7"/>
      <c r="B1270" s="6" t="str">
        <f>IF(A1270="","",LOWER(TEXT(A1270,"[$-es-ES]mmmm"))&amp;" "&amp;YEAR(A1270))</f>
        <v/>
      </c>
      <c r="G1270" s="8"/>
    </row>
    <row r="1271" spans="1:7">
      <c r="A1271" s="7"/>
      <c r="B1271" s="6" t="str">
        <f>IF(A1271="","",LOWER(TEXT(A1271,"[$-es-ES]mmmm"))&amp;" "&amp;YEAR(A1271))</f>
        <v/>
      </c>
      <c r="G1271" s="8"/>
    </row>
    <row r="1272" spans="1:7">
      <c r="A1272" s="7"/>
      <c r="B1272" s="6" t="str">
        <f>IF(A1272="","",LOWER(TEXT(A1272,"[$-es-ES]mmmm"))&amp;" "&amp;YEAR(A1272))</f>
        <v/>
      </c>
      <c r="G1272" s="8"/>
    </row>
    <row r="1273" spans="1:7">
      <c r="A1273" s="7"/>
      <c r="B1273" s="6" t="str">
        <f>IF(A1273="","",LOWER(TEXT(A1273,"[$-es-ES]mmmm"))&amp;" "&amp;YEAR(A1273))</f>
        <v/>
      </c>
      <c r="G1273" s="8"/>
    </row>
    <row r="1274" spans="1:7">
      <c r="A1274" s="7"/>
      <c r="B1274" s="6" t="str">
        <f>IF(A1274="","",LOWER(TEXT(A1274,"[$-es-ES]mmmm"))&amp;" "&amp;YEAR(A1274))</f>
        <v/>
      </c>
      <c r="G1274" s="8"/>
    </row>
    <row r="1275" spans="1:7">
      <c r="A1275" s="7"/>
      <c r="B1275" s="6" t="str">
        <f>IF(A1275="","",LOWER(TEXT(A1275,"[$-es-ES]mmmm"))&amp;" "&amp;YEAR(A1275))</f>
        <v/>
      </c>
      <c r="G1275" s="8"/>
    </row>
    <row r="1276" spans="1:7">
      <c r="A1276" s="7"/>
      <c r="B1276" s="6" t="str">
        <f>IF(A1276="","",LOWER(TEXT(A1276,"[$-es-ES]mmmm"))&amp;" "&amp;YEAR(A1276))</f>
        <v/>
      </c>
      <c r="G1276" s="8"/>
    </row>
    <row r="1277" spans="1:7">
      <c r="A1277" s="7"/>
      <c r="B1277" s="6" t="str">
        <f>IF(A1277="","",LOWER(TEXT(A1277,"[$-es-ES]mmmm"))&amp;" "&amp;YEAR(A1277))</f>
        <v/>
      </c>
      <c r="G1277" s="8"/>
    </row>
    <row r="1278" spans="1:7">
      <c r="A1278" s="7"/>
      <c r="B1278" s="6" t="str">
        <f>IF(A1278="","",LOWER(TEXT(A1278,"[$-es-ES]mmmm"))&amp;" "&amp;YEAR(A1278))</f>
        <v/>
      </c>
      <c r="G1278" s="8"/>
    </row>
    <row r="1279" spans="1:7">
      <c r="A1279" s="7"/>
      <c r="B1279" s="6" t="str">
        <f>IF(A1279="","",LOWER(TEXT(A1279,"[$-es-ES]mmmm"))&amp;" "&amp;YEAR(A1279))</f>
        <v/>
      </c>
      <c r="G1279" s="8"/>
    </row>
    <row r="1280" spans="1:7">
      <c r="A1280" s="7"/>
      <c r="B1280" s="6" t="str">
        <f>IF(A1280="","",LOWER(TEXT(A1280,"[$-es-ES]mmmm"))&amp;" "&amp;YEAR(A1280))</f>
        <v/>
      </c>
      <c r="G1280" s="8"/>
    </row>
    <row r="1281" spans="1:7">
      <c r="A1281" s="7"/>
      <c r="B1281" s="6" t="str">
        <f>IF(A1281="","",LOWER(TEXT(A1281,"[$-es-ES]mmmm"))&amp;" "&amp;YEAR(A1281))</f>
        <v/>
      </c>
      <c r="G1281" s="8"/>
    </row>
    <row r="1282" spans="1:7">
      <c r="A1282" s="7"/>
      <c r="B1282" s="6" t="str">
        <f>IF(A1282="","",LOWER(TEXT(A1282,"[$-es-ES]mmmm"))&amp;" "&amp;YEAR(A1282))</f>
        <v/>
      </c>
      <c r="G1282" s="8"/>
    </row>
    <row r="1283" spans="1:7">
      <c r="A1283" s="7"/>
      <c r="B1283" s="6" t="str">
        <f>IF(A1283="","",LOWER(TEXT(A1283,"[$-es-ES]mmmm"))&amp;" "&amp;YEAR(A1283))</f>
        <v/>
      </c>
      <c r="G1283" s="8"/>
    </row>
    <row r="1284" spans="1:7">
      <c r="A1284" s="7"/>
      <c r="B1284" s="6" t="str">
        <f>IF(A1284="","",LOWER(TEXT(A1284,"[$-es-ES]mmmm"))&amp;" "&amp;YEAR(A1284))</f>
        <v/>
      </c>
      <c r="G1284" s="8"/>
    </row>
    <row r="1285" spans="1:7">
      <c r="A1285" s="7"/>
      <c r="B1285" s="6" t="str">
        <f>IF(A1285="","",LOWER(TEXT(A1285,"[$-es-ES]mmmm"))&amp;" "&amp;YEAR(A1285))</f>
        <v/>
      </c>
      <c r="G1285" s="8"/>
    </row>
    <row r="1286" spans="1:7">
      <c r="A1286" s="7"/>
      <c r="B1286" s="6" t="str">
        <f>IF(A1286="","",LOWER(TEXT(A1286,"[$-es-ES]mmmm"))&amp;" "&amp;YEAR(A1286))</f>
        <v/>
      </c>
      <c r="G1286" s="8"/>
    </row>
    <row r="1287" spans="1:7">
      <c r="A1287" s="7"/>
      <c r="B1287" s="6" t="str">
        <f>IF(A1287="","",LOWER(TEXT(A1287,"[$-es-ES]mmmm"))&amp;" "&amp;YEAR(A1287))</f>
        <v/>
      </c>
      <c r="G1287" s="8"/>
    </row>
    <row r="1288" spans="1:7">
      <c r="A1288" s="7"/>
      <c r="B1288" s="6" t="str">
        <f>IF(A1288="","",LOWER(TEXT(A1288,"[$-es-ES]mmmm"))&amp;" "&amp;YEAR(A1288))</f>
        <v/>
      </c>
      <c r="G1288" s="8"/>
    </row>
    <row r="1289" spans="1:7">
      <c r="A1289" s="7"/>
      <c r="B1289" s="6" t="str">
        <f>IF(A1289="","",LOWER(TEXT(A1289,"[$-es-ES]mmmm"))&amp;" "&amp;YEAR(A1289))</f>
        <v/>
      </c>
      <c r="G1289" s="8"/>
    </row>
    <row r="1290" spans="1:7">
      <c r="A1290" s="7"/>
      <c r="B1290" s="6" t="str">
        <f>IF(A1290="","",LOWER(TEXT(A1290,"[$-es-ES]mmmm"))&amp;" "&amp;YEAR(A1290))</f>
        <v/>
      </c>
      <c r="G1290" s="8"/>
    </row>
    <row r="1291" spans="1:7">
      <c r="A1291" s="7"/>
      <c r="B1291" s="6" t="str">
        <f>IF(A1291="","",LOWER(TEXT(A1291,"[$-es-ES]mmmm"))&amp;" "&amp;YEAR(A1291))</f>
        <v/>
      </c>
      <c r="G1291" s="8"/>
    </row>
    <row r="1292" spans="1:7">
      <c r="A1292" s="7"/>
      <c r="B1292" s="6" t="str">
        <f>IF(A1292="","",LOWER(TEXT(A1292,"[$-es-ES]mmmm"))&amp;" "&amp;YEAR(A1292))</f>
        <v/>
      </c>
      <c r="G1292" s="8"/>
    </row>
    <row r="1293" spans="1:7">
      <c r="A1293" s="7"/>
      <c r="B1293" s="6" t="str">
        <f>IF(A1293="","",LOWER(TEXT(A1293,"[$-es-ES]mmmm"))&amp;" "&amp;YEAR(A1293))</f>
        <v/>
      </c>
      <c r="G1293" s="8"/>
    </row>
    <row r="1294" spans="1:7">
      <c r="A1294" s="7"/>
      <c r="B1294" s="6" t="str">
        <f>IF(A1294="","",LOWER(TEXT(A1294,"[$-es-ES]mmmm"))&amp;" "&amp;YEAR(A1294))</f>
        <v/>
      </c>
      <c r="G1294" s="8"/>
    </row>
    <row r="1295" spans="1:7">
      <c r="A1295" s="7"/>
      <c r="B1295" s="6" t="str">
        <f>IF(A1295="","",LOWER(TEXT(A1295,"[$-es-ES]mmmm"))&amp;" "&amp;YEAR(A1295))</f>
        <v/>
      </c>
      <c r="G1295" s="8"/>
    </row>
    <row r="1296" spans="1:7">
      <c r="A1296" s="7"/>
      <c r="B1296" s="6" t="str">
        <f>IF(A1296="","",LOWER(TEXT(A1296,"[$-es-ES]mmmm"))&amp;" "&amp;YEAR(A1296))</f>
        <v/>
      </c>
      <c r="G1296" s="8"/>
    </row>
    <row r="1297" spans="1:7">
      <c r="A1297" s="7"/>
      <c r="B1297" s="6" t="str">
        <f>IF(A1297="","",LOWER(TEXT(A1297,"[$-es-ES]mmmm"))&amp;" "&amp;YEAR(A1297))</f>
        <v/>
      </c>
      <c r="G1297" s="8"/>
    </row>
    <row r="1298" spans="1:7">
      <c r="A1298" s="7"/>
      <c r="B1298" s="6" t="str">
        <f>IF(A1298="","",LOWER(TEXT(A1298,"[$-es-ES]mmmm"))&amp;" "&amp;YEAR(A1298))</f>
        <v/>
      </c>
      <c r="G1298" s="8"/>
    </row>
    <row r="1299" spans="1:7">
      <c r="A1299" s="7"/>
      <c r="B1299" s="6" t="str">
        <f>IF(A1299="","",LOWER(TEXT(A1299,"[$-es-ES]mmmm"))&amp;" "&amp;YEAR(A1299))</f>
        <v/>
      </c>
      <c r="G1299" s="8"/>
    </row>
    <row r="1300" spans="1:7">
      <c r="A1300" s="7"/>
      <c r="B1300" s="6" t="str">
        <f>IF(A1300="","",LOWER(TEXT(A1300,"[$-es-ES]mmmm"))&amp;" "&amp;YEAR(A1300))</f>
        <v/>
      </c>
      <c r="G1300" s="8"/>
    </row>
    <row r="1301" spans="1:7">
      <c r="A1301" s="7"/>
      <c r="B1301" s="6" t="str">
        <f>IF(A1301="","",LOWER(TEXT(A1301,"[$-es-ES]mmmm"))&amp;" "&amp;YEAR(A1301))</f>
        <v/>
      </c>
      <c r="G1301" s="8"/>
    </row>
    <row r="1302" spans="1:7">
      <c r="A1302" s="7"/>
      <c r="B1302" s="6" t="str">
        <f>IF(A1302="","",LOWER(TEXT(A1302,"[$-es-ES]mmmm"))&amp;" "&amp;YEAR(A1302))</f>
        <v/>
      </c>
      <c r="G1302" s="8"/>
    </row>
    <row r="1303" spans="1:7">
      <c r="A1303" s="7"/>
      <c r="B1303" s="6" t="str">
        <f>IF(A1303="","",LOWER(TEXT(A1303,"[$-es-ES]mmmm"))&amp;" "&amp;YEAR(A1303))</f>
        <v/>
      </c>
      <c r="G1303" s="8"/>
    </row>
    <row r="1304" spans="1:7">
      <c r="A1304" s="7"/>
      <c r="B1304" s="6" t="str">
        <f>IF(A1304="","",LOWER(TEXT(A1304,"[$-es-ES]mmmm"))&amp;" "&amp;YEAR(A1304))</f>
        <v/>
      </c>
      <c r="G1304" s="8"/>
    </row>
    <row r="1305" spans="1:7">
      <c r="A1305" s="7"/>
      <c r="B1305" s="6" t="str">
        <f>IF(A1305="","",LOWER(TEXT(A1305,"[$-es-ES]mmmm"))&amp;" "&amp;YEAR(A1305))</f>
        <v/>
      </c>
      <c r="G1305" s="8"/>
    </row>
    <row r="1306" spans="1:7">
      <c r="A1306" s="7"/>
      <c r="B1306" s="6" t="str">
        <f>IF(A1306="","",LOWER(TEXT(A1306,"[$-es-ES]mmmm"))&amp;" "&amp;YEAR(A1306))</f>
        <v/>
      </c>
      <c r="G1306" s="8"/>
    </row>
    <row r="1307" spans="1:7">
      <c r="A1307" s="7"/>
      <c r="B1307" s="6" t="str">
        <f>IF(A1307="","",LOWER(TEXT(A1307,"[$-es-ES]mmmm"))&amp;" "&amp;YEAR(A1307))</f>
        <v/>
      </c>
      <c r="G1307" s="8"/>
    </row>
    <row r="1308" spans="1:7">
      <c r="A1308" s="7"/>
      <c r="B1308" s="6" t="str">
        <f>IF(A1308="","",LOWER(TEXT(A1308,"[$-es-ES]mmmm"))&amp;" "&amp;YEAR(A1308))</f>
        <v/>
      </c>
      <c r="G1308" s="8"/>
    </row>
    <row r="1309" spans="1:7">
      <c r="A1309" s="7"/>
      <c r="B1309" s="6" t="str">
        <f>IF(A1309="","",LOWER(TEXT(A1309,"[$-es-ES]mmmm"))&amp;" "&amp;YEAR(A1309))</f>
        <v/>
      </c>
      <c r="G1309" s="8"/>
    </row>
    <row r="1310" spans="1:7">
      <c r="A1310" s="7"/>
      <c r="B1310" s="6" t="str">
        <f>IF(A1310="","",LOWER(TEXT(A1310,"[$-es-ES]mmmm"))&amp;" "&amp;YEAR(A1310))</f>
        <v/>
      </c>
      <c r="G1310" s="8"/>
    </row>
    <row r="1311" spans="1:7">
      <c r="A1311" s="7"/>
      <c r="B1311" s="6" t="str">
        <f>IF(A1311="","",LOWER(TEXT(A1311,"[$-es-ES]mmmm"))&amp;" "&amp;YEAR(A1311))</f>
        <v/>
      </c>
      <c r="G1311" s="8"/>
    </row>
    <row r="1312" spans="1:7">
      <c r="A1312" s="7"/>
      <c r="B1312" s="6" t="str">
        <f>IF(A1312="","",LOWER(TEXT(A1312,"[$-es-ES]mmmm"))&amp;" "&amp;YEAR(A1312))</f>
        <v/>
      </c>
      <c r="G1312" s="8"/>
    </row>
    <row r="1313" spans="1:7">
      <c r="A1313" s="7"/>
      <c r="B1313" s="6" t="str">
        <f>IF(A1313="","",LOWER(TEXT(A1313,"[$-es-ES]mmmm"))&amp;" "&amp;YEAR(A1313))</f>
        <v/>
      </c>
      <c r="G1313" s="8"/>
    </row>
    <row r="1314" spans="1:7">
      <c r="A1314" s="7"/>
      <c r="B1314" s="6" t="str">
        <f>IF(A1314="","",LOWER(TEXT(A1314,"[$-es-ES]mmmm"))&amp;" "&amp;YEAR(A1314))</f>
        <v/>
      </c>
      <c r="G1314" s="8"/>
    </row>
    <row r="1315" spans="1:7">
      <c r="A1315" s="7"/>
      <c r="B1315" s="6" t="str">
        <f>IF(A1315="","",LOWER(TEXT(A1315,"[$-es-ES]mmmm"))&amp;" "&amp;YEAR(A1315))</f>
        <v/>
      </c>
      <c r="G1315" s="8"/>
    </row>
    <row r="1316" spans="1:7">
      <c r="A1316" s="7"/>
      <c r="B1316" s="6" t="str">
        <f>IF(A1316="","",LOWER(TEXT(A1316,"[$-es-ES]mmmm"))&amp;" "&amp;YEAR(A1316))</f>
        <v/>
      </c>
      <c r="G1316" s="8"/>
    </row>
    <row r="1317" spans="1:7">
      <c r="A1317" s="7"/>
      <c r="B1317" s="6" t="str">
        <f>IF(A1317="","",LOWER(TEXT(A1317,"[$-es-ES]mmmm"))&amp;" "&amp;YEAR(A1317))</f>
        <v/>
      </c>
      <c r="G1317" s="8"/>
    </row>
    <row r="1318" spans="1:7">
      <c r="A1318" s="7"/>
      <c r="B1318" s="6" t="str">
        <f>IF(A1318="","",LOWER(TEXT(A1318,"[$-es-ES]mmmm"))&amp;" "&amp;YEAR(A1318))</f>
        <v/>
      </c>
      <c r="G1318" s="8"/>
    </row>
    <row r="1319" spans="1:7">
      <c r="A1319" s="7"/>
      <c r="B1319" s="6" t="str">
        <f>IF(A1319="","",LOWER(TEXT(A1319,"[$-es-ES]mmmm"))&amp;" "&amp;YEAR(A1319))</f>
        <v/>
      </c>
      <c r="G1319" s="8"/>
    </row>
    <row r="1320" spans="1:7">
      <c r="A1320" s="7"/>
      <c r="B1320" s="6" t="str">
        <f>IF(A1320="","",LOWER(TEXT(A1320,"[$-es-ES]mmmm"))&amp;" "&amp;YEAR(A1320))</f>
        <v/>
      </c>
      <c r="G1320" s="8"/>
    </row>
    <row r="1321" spans="1:7">
      <c r="A1321" s="7"/>
      <c r="B1321" s="6" t="str">
        <f>IF(A1321="","",LOWER(TEXT(A1321,"[$-es-ES]mmmm"))&amp;" "&amp;YEAR(A1321))</f>
        <v/>
      </c>
      <c r="G1321" s="8"/>
    </row>
    <row r="1322" spans="1:7">
      <c r="A1322" s="7"/>
      <c r="B1322" s="6" t="str">
        <f>IF(A1322="","",LOWER(TEXT(A1322,"[$-es-ES]mmmm"))&amp;" "&amp;YEAR(A1322))</f>
        <v/>
      </c>
      <c r="G1322" s="8"/>
    </row>
    <row r="1323" spans="1:7">
      <c r="A1323" s="7"/>
      <c r="B1323" s="6" t="str">
        <f>IF(A1323="","",LOWER(TEXT(A1323,"[$-es-ES]mmmm"))&amp;" "&amp;YEAR(A1323))</f>
        <v/>
      </c>
      <c r="G1323" s="8"/>
    </row>
    <row r="1324" spans="1:7">
      <c r="A1324" s="7"/>
      <c r="B1324" s="6" t="str">
        <f>IF(A1324="","",LOWER(TEXT(A1324,"[$-es-ES]mmmm"))&amp;" "&amp;YEAR(A1324))</f>
        <v/>
      </c>
      <c r="G1324" s="8"/>
    </row>
    <row r="1325" spans="1:7">
      <c r="A1325" s="7"/>
      <c r="B1325" s="6" t="str">
        <f>IF(A1325="","",LOWER(TEXT(A1325,"[$-es-ES]mmmm"))&amp;" "&amp;YEAR(A1325))</f>
        <v/>
      </c>
      <c r="G1325" s="8"/>
    </row>
    <row r="1326" spans="1:7">
      <c r="A1326" s="7"/>
      <c r="B1326" s="6" t="str">
        <f>IF(A1326="","",LOWER(TEXT(A1326,"[$-es-ES]mmmm"))&amp;" "&amp;YEAR(A1326))</f>
        <v/>
      </c>
      <c r="G1326" s="8"/>
    </row>
    <row r="1327" spans="1:7">
      <c r="A1327" s="7"/>
      <c r="B1327" s="6" t="str">
        <f>IF(A1327="","",LOWER(TEXT(A1327,"[$-es-ES]mmmm"))&amp;" "&amp;YEAR(A1327))</f>
        <v/>
      </c>
      <c r="G1327" s="8"/>
    </row>
    <row r="1328" spans="1:7">
      <c r="A1328" s="7"/>
      <c r="B1328" s="6" t="str">
        <f>IF(A1328="","",LOWER(TEXT(A1328,"[$-es-ES]mmmm"))&amp;" "&amp;YEAR(A1328))</f>
        <v/>
      </c>
      <c r="G1328" s="8"/>
    </row>
    <row r="1329" spans="1:7">
      <c r="A1329" s="7"/>
      <c r="B1329" s="6" t="str">
        <f>IF(A1329="","",LOWER(TEXT(A1329,"[$-es-ES]mmmm"))&amp;" "&amp;YEAR(A1329))</f>
        <v/>
      </c>
      <c r="G1329" s="8"/>
    </row>
    <row r="1330" spans="1:7">
      <c r="A1330" s="7"/>
      <c r="B1330" s="6" t="str">
        <f>IF(A1330="","",LOWER(TEXT(A1330,"[$-es-ES]mmmm"))&amp;" "&amp;YEAR(A1330))</f>
        <v/>
      </c>
      <c r="G1330" s="8"/>
    </row>
    <row r="1331" spans="1:7">
      <c r="A1331" s="7"/>
      <c r="B1331" s="6" t="str">
        <f>IF(A1331="","",LOWER(TEXT(A1331,"[$-es-ES]mmmm"))&amp;" "&amp;YEAR(A1331))</f>
        <v/>
      </c>
      <c r="G1331" s="8"/>
    </row>
    <row r="1332" spans="1:7">
      <c r="A1332" s="7"/>
      <c r="B1332" s="6" t="str">
        <f>IF(A1332="","",LOWER(TEXT(A1332,"[$-es-ES]mmmm"))&amp;" "&amp;YEAR(A1332))</f>
        <v/>
      </c>
      <c r="G1332" s="8"/>
    </row>
    <row r="1333" spans="1:7">
      <c r="A1333" s="7"/>
      <c r="B1333" s="6" t="str">
        <f>IF(A1333="","",LOWER(TEXT(A1333,"[$-es-ES]mmmm"))&amp;" "&amp;YEAR(A1333))</f>
        <v/>
      </c>
      <c r="G1333" s="8"/>
    </row>
    <row r="1334" spans="1:7">
      <c r="A1334" s="7"/>
      <c r="B1334" s="6" t="str">
        <f>IF(A1334="","",LOWER(TEXT(A1334,"[$-es-ES]mmmm"))&amp;" "&amp;YEAR(A1334))</f>
        <v/>
      </c>
      <c r="G1334" s="8"/>
    </row>
    <row r="1335" spans="1:7">
      <c r="A1335" s="7"/>
      <c r="B1335" s="6" t="str">
        <f>IF(A1335="","",LOWER(TEXT(A1335,"[$-es-ES]mmmm"))&amp;" "&amp;YEAR(A1335))</f>
        <v/>
      </c>
      <c r="G1335" s="8"/>
    </row>
    <row r="1336" spans="1:7">
      <c r="A1336" s="7"/>
      <c r="B1336" s="6" t="str">
        <f>IF(A1336="","",LOWER(TEXT(A1336,"[$-es-ES]mmmm"))&amp;" "&amp;YEAR(A1336))</f>
        <v/>
      </c>
      <c r="G1336" s="8"/>
    </row>
    <row r="1337" spans="1:7">
      <c r="A1337" s="7"/>
      <c r="B1337" s="6" t="str">
        <f>IF(A1337="","",LOWER(TEXT(A1337,"[$-es-ES]mmmm"))&amp;" "&amp;YEAR(A1337))</f>
        <v/>
      </c>
      <c r="G1337" s="8"/>
    </row>
    <row r="1338" spans="1:7">
      <c r="A1338" s="7"/>
      <c r="B1338" s="6" t="str">
        <f>IF(A1338="","",LOWER(TEXT(A1338,"[$-es-ES]mmmm"))&amp;" "&amp;YEAR(A1338))</f>
        <v/>
      </c>
      <c r="G1338" s="8"/>
    </row>
    <row r="1339" spans="1:7">
      <c r="A1339" s="7"/>
      <c r="B1339" s="6" t="str">
        <f>IF(A1339="","",LOWER(TEXT(A1339,"[$-es-ES]mmmm"))&amp;" "&amp;YEAR(A1339))</f>
        <v/>
      </c>
      <c r="G1339" s="8"/>
    </row>
    <row r="1340" spans="1:7">
      <c r="A1340" s="7"/>
      <c r="B1340" s="6" t="str">
        <f>IF(A1340="","",LOWER(TEXT(A1340,"[$-es-ES]mmmm"))&amp;" "&amp;YEAR(A1340))</f>
        <v/>
      </c>
      <c r="G1340" s="8"/>
    </row>
    <row r="1341" spans="1:7">
      <c r="A1341" s="7"/>
      <c r="B1341" s="6" t="str">
        <f>IF(A1341="","",LOWER(TEXT(A1341,"[$-es-ES]mmmm"))&amp;" "&amp;YEAR(A1341))</f>
        <v/>
      </c>
      <c r="G1341" s="8"/>
    </row>
    <row r="1342" spans="1:7">
      <c r="A1342" s="7"/>
      <c r="B1342" s="6" t="str">
        <f>IF(A1342="","",LOWER(TEXT(A1342,"[$-es-ES]mmmm"))&amp;" "&amp;YEAR(A1342))</f>
        <v/>
      </c>
      <c r="G1342" s="8"/>
    </row>
    <row r="1343" spans="1:7">
      <c r="A1343" s="7"/>
      <c r="B1343" s="6" t="str">
        <f>IF(A1343="","",LOWER(TEXT(A1343,"[$-es-ES]mmmm"))&amp;" "&amp;YEAR(A1343))</f>
        <v/>
      </c>
      <c r="G1343" s="8"/>
    </row>
    <row r="1344" spans="1:7">
      <c r="A1344" s="7"/>
      <c r="B1344" s="6" t="str">
        <f>IF(A1344="","",LOWER(TEXT(A1344,"[$-es-ES]mmmm"))&amp;" "&amp;YEAR(A1344))</f>
        <v/>
      </c>
      <c r="G1344" s="8"/>
    </row>
    <row r="1345" spans="1:7">
      <c r="A1345" s="7"/>
      <c r="B1345" s="6" t="str">
        <f>IF(A1345="","",LOWER(TEXT(A1345,"[$-es-ES]mmmm"))&amp;" "&amp;YEAR(A1345))</f>
        <v/>
      </c>
      <c r="G1345" s="8"/>
    </row>
    <row r="1346" spans="1:7">
      <c r="A1346" s="7"/>
      <c r="B1346" s="6" t="str">
        <f>IF(A1346="","",LOWER(TEXT(A1346,"[$-es-ES]mmmm"))&amp;" "&amp;YEAR(A1346))</f>
        <v/>
      </c>
      <c r="G1346" s="8"/>
    </row>
    <row r="1347" spans="1:7">
      <c r="A1347" s="7"/>
      <c r="B1347" s="6" t="str">
        <f>IF(A1347="","",LOWER(TEXT(A1347,"[$-es-ES]mmmm"))&amp;" "&amp;YEAR(A1347))</f>
        <v/>
      </c>
      <c r="G1347" s="8"/>
    </row>
    <row r="1348" spans="1:7">
      <c r="A1348" s="7"/>
      <c r="B1348" s="6" t="str">
        <f>IF(A1348="","",LOWER(TEXT(A1348,"[$-es-ES]mmmm"))&amp;" "&amp;YEAR(A1348))</f>
        <v/>
      </c>
      <c r="G1348" s="8"/>
    </row>
    <row r="1349" spans="1:7">
      <c r="A1349" s="7"/>
      <c r="B1349" s="6" t="str">
        <f>IF(A1349="","",LOWER(TEXT(A1349,"[$-es-ES]mmmm"))&amp;" "&amp;YEAR(A1349))</f>
        <v/>
      </c>
      <c r="G1349" s="8"/>
    </row>
    <row r="1350" spans="1:7">
      <c r="A1350" s="7"/>
      <c r="B1350" s="6" t="str">
        <f>IF(A1350="","",LOWER(TEXT(A1350,"[$-es-ES]mmmm"))&amp;" "&amp;YEAR(A1350))</f>
        <v/>
      </c>
      <c r="G1350" s="8"/>
    </row>
    <row r="1351" spans="1:7">
      <c r="A1351" s="7"/>
      <c r="B1351" s="6" t="str">
        <f>IF(A1351="","",LOWER(TEXT(A1351,"[$-es-ES]mmmm"))&amp;" "&amp;YEAR(A1351))</f>
        <v/>
      </c>
      <c r="G1351" s="8"/>
    </row>
    <row r="1352" spans="1:7">
      <c r="A1352" s="7"/>
      <c r="B1352" s="6" t="str">
        <f>IF(A1352="","",LOWER(TEXT(A1352,"[$-es-ES]mmmm"))&amp;" "&amp;YEAR(A1352))</f>
        <v/>
      </c>
      <c r="G1352" s="8"/>
    </row>
    <row r="1353" spans="1:7">
      <c r="A1353" s="7"/>
      <c r="B1353" s="6" t="str">
        <f>IF(A1353="","",LOWER(TEXT(A1353,"[$-es-ES]mmmm"))&amp;" "&amp;YEAR(A1353))</f>
        <v/>
      </c>
      <c r="G1353" s="8"/>
    </row>
    <row r="1354" spans="1:7">
      <c r="A1354" s="7"/>
      <c r="B1354" s="6" t="str">
        <f>IF(A1354="","",LOWER(TEXT(A1354,"[$-es-ES]mmmm"))&amp;" "&amp;YEAR(A1354))</f>
        <v/>
      </c>
      <c r="G1354" s="8"/>
    </row>
    <row r="1355" spans="1:7">
      <c r="A1355" s="7"/>
      <c r="B1355" s="6" t="str">
        <f>IF(A1355="","",LOWER(TEXT(A1355,"[$-es-ES]mmmm"))&amp;" "&amp;YEAR(A1355))</f>
        <v/>
      </c>
      <c r="G1355" s="8"/>
    </row>
    <row r="1356" spans="1:7">
      <c r="A1356" s="7"/>
      <c r="B1356" s="6" t="str">
        <f>IF(A1356="","",LOWER(TEXT(A1356,"[$-es-ES]mmmm"))&amp;" "&amp;YEAR(A1356))</f>
        <v/>
      </c>
      <c r="G1356" s="8"/>
    </row>
    <row r="1357" spans="1:7">
      <c r="A1357" s="7"/>
      <c r="B1357" s="6" t="str">
        <f>IF(A1357="","",LOWER(TEXT(A1357,"[$-es-ES]mmmm"))&amp;" "&amp;YEAR(A1357))</f>
        <v/>
      </c>
      <c r="G1357" s="8"/>
    </row>
    <row r="1358" spans="1:7">
      <c r="A1358" s="7"/>
      <c r="B1358" s="6" t="str">
        <f>IF(A1358="","",LOWER(TEXT(A1358,"[$-es-ES]mmmm"))&amp;" "&amp;YEAR(A1358))</f>
        <v/>
      </c>
      <c r="G1358" s="8"/>
    </row>
    <row r="1359" spans="1:7">
      <c r="A1359" s="7"/>
      <c r="B1359" s="6" t="str">
        <f>IF(A1359="","",LOWER(TEXT(A1359,"[$-es-ES]mmmm"))&amp;" "&amp;YEAR(A1359))</f>
        <v/>
      </c>
      <c r="G1359" s="8"/>
    </row>
    <row r="1360" spans="1:7">
      <c r="A1360" s="7"/>
      <c r="B1360" s="6" t="str">
        <f>IF(A1360="","",LOWER(TEXT(A1360,"[$-es-ES]mmmm"))&amp;" "&amp;YEAR(A1360))</f>
        <v/>
      </c>
      <c r="G1360" s="8"/>
    </row>
    <row r="1361" spans="1:7">
      <c r="A1361" s="7"/>
      <c r="B1361" s="6" t="str">
        <f>IF(A1361="","",LOWER(TEXT(A1361,"[$-es-ES]mmmm"))&amp;" "&amp;YEAR(A1361))</f>
        <v/>
      </c>
      <c r="G1361" s="8"/>
    </row>
    <row r="1362" spans="1:7">
      <c r="A1362" s="7"/>
      <c r="B1362" s="6" t="str">
        <f>IF(A1362="","",LOWER(TEXT(A1362,"[$-es-ES]mmmm"))&amp;" "&amp;YEAR(A1362))</f>
        <v/>
      </c>
      <c r="G1362" s="8"/>
    </row>
    <row r="1363" spans="1:7">
      <c r="A1363" s="7"/>
      <c r="B1363" s="6" t="str">
        <f>IF(A1363="","",LOWER(TEXT(A1363,"[$-es-ES]mmmm"))&amp;" "&amp;YEAR(A1363))</f>
        <v/>
      </c>
      <c r="G1363" s="8"/>
    </row>
    <row r="1364" spans="1:7">
      <c r="A1364" s="7"/>
      <c r="B1364" s="6" t="str">
        <f>IF(A1364="","",LOWER(TEXT(A1364,"[$-es-ES]mmmm"))&amp;" "&amp;YEAR(A1364))</f>
        <v/>
      </c>
      <c r="G1364" s="8"/>
    </row>
    <row r="1365" spans="1:7">
      <c r="A1365" s="7"/>
      <c r="B1365" s="6" t="str">
        <f>IF(A1365="","",LOWER(TEXT(A1365,"[$-es-ES]mmmm"))&amp;" "&amp;YEAR(A1365))</f>
        <v/>
      </c>
      <c r="G1365" s="8"/>
    </row>
    <row r="1366" spans="1:7">
      <c r="A1366" s="7"/>
      <c r="B1366" s="6" t="str">
        <f>IF(A1366="","",LOWER(TEXT(A1366,"[$-es-ES]mmmm"))&amp;" "&amp;YEAR(A1366))</f>
        <v/>
      </c>
      <c r="G1366" s="8"/>
    </row>
    <row r="1367" spans="1:7">
      <c r="A1367" s="7"/>
      <c r="B1367" s="6" t="str">
        <f>IF(A1367="","",LOWER(TEXT(A1367,"[$-es-ES]mmmm"))&amp;" "&amp;YEAR(A1367))</f>
        <v/>
      </c>
      <c r="G1367" s="8"/>
    </row>
    <row r="1368" spans="1:7">
      <c r="A1368" s="7"/>
      <c r="B1368" s="6" t="str">
        <f>IF(A1368="","",LOWER(TEXT(A1368,"[$-es-ES]mmmm"))&amp;" "&amp;YEAR(A1368))</f>
        <v/>
      </c>
      <c r="G1368" s="8"/>
    </row>
    <row r="1369" spans="1:7">
      <c r="A1369" s="7"/>
      <c r="B1369" s="6" t="str">
        <f>IF(A1369="","",LOWER(TEXT(A1369,"[$-es-ES]mmmm"))&amp;" "&amp;YEAR(A1369))</f>
        <v/>
      </c>
      <c r="G1369" s="8"/>
    </row>
    <row r="1370" spans="1:7">
      <c r="A1370" s="7"/>
      <c r="B1370" s="6" t="str">
        <f>IF(A1370="","",LOWER(TEXT(A1370,"[$-es-ES]mmmm"))&amp;" "&amp;YEAR(A1370))</f>
        <v/>
      </c>
      <c r="G1370" s="8"/>
    </row>
    <row r="1371" spans="1:7">
      <c r="A1371" s="7"/>
      <c r="B1371" s="6" t="str">
        <f>IF(A1371="","",LOWER(TEXT(A1371,"[$-es-ES]mmmm"))&amp;" "&amp;YEAR(A1371))</f>
        <v/>
      </c>
      <c r="G1371" s="8"/>
    </row>
    <row r="1372" spans="1:7">
      <c r="A1372" s="7"/>
      <c r="B1372" s="6" t="str">
        <f>IF(A1372="","",LOWER(TEXT(A1372,"[$-es-ES]mmmm"))&amp;" "&amp;YEAR(A1372))</f>
        <v/>
      </c>
      <c r="G1372" s="8"/>
    </row>
    <row r="1373" spans="1:7">
      <c r="A1373" s="7"/>
      <c r="B1373" s="6" t="str">
        <f>IF(A1373="","",LOWER(TEXT(A1373,"[$-es-ES]mmmm"))&amp;" "&amp;YEAR(A1373))</f>
        <v/>
      </c>
      <c r="G1373" s="8"/>
    </row>
    <row r="1374" spans="1:7">
      <c r="A1374" s="7"/>
      <c r="B1374" s="6" t="str">
        <f>IF(A1374="","",LOWER(TEXT(A1374,"[$-es-ES]mmmm"))&amp;" "&amp;YEAR(A1374))</f>
        <v/>
      </c>
      <c r="G1374" s="8"/>
    </row>
    <row r="1375" spans="1:7">
      <c r="A1375" s="7"/>
      <c r="B1375" s="6" t="str">
        <f>IF(A1375="","",LOWER(TEXT(A1375,"[$-es-ES]mmmm"))&amp;" "&amp;YEAR(A1375))</f>
        <v/>
      </c>
      <c r="G1375" s="8"/>
    </row>
    <row r="1376" spans="1:7">
      <c r="A1376" s="7"/>
      <c r="B1376" s="6" t="str">
        <f>IF(A1376="","",LOWER(TEXT(A1376,"[$-es-ES]mmmm"))&amp;" "&amp;YEAR(A1376))</f>
        <v/>
      </c>
      <c r="G1376" s="8"/>
    </row>
    <row r="1377" spans="1:7">
      <c r="A1377" s="7"/>
      <c r="B1377" s="6" t="str">
        <f>IF(A1377="","",LOWER(TEXT(A1377,"[$-es-ES]mmmm"))&amp;" "&amp;YEAR(A1377))</f>
        <v/>
      </c>
      <c r="G1377" s="8"/>
    </row>
    <row r="1378" spans="1:7">
      <c r="A1378" s="7"/>
      <c r="B1378" s="6" t="str">
        <f>IF(A1378="","",LOWER(TEXT(A1378,"[$-es-ES]mmmm"))&amp;" "&amp;YEAR(A1378))</f>
        <v/>
      </c>
      <c r="G1378" s="8"/>
    </row>
    <row r="1379" spans="1:7">
      <c r="A1379" s="7"/>
      <c r="B1379" s="6" t="str">
        <f>IF(A1379="","",LOWER(TEXT(A1379,"[$-es-ES]mmmm"))&amp;" "&amp;YEAR(A1379))</f>
        <v/>
      </c>
      <c r="G1379" s="8"/>
    </row>
    <row r="1380" spans="1:7">
      <c r="A1380" s="7"/>
      <c r="B1380" s="6" t="str">
        <f>IF(A1380="","",LOWER(TEXT(A1380,"[$-es-ES]mmmm"))&amp;" "&amp;YEAR(A1380))</f>
        <v/>
      </c>
      <c r="G1380" s="8"/>
    </row>
    <row r="1381" spans="1:7">
      <c r="A1381" s="7"/>
      <c r="B1381" s="6" t="str">
        <f>IF(A1381="","",LOWER(TEXT(A1381,"[$-es-ES]mmmm"))&amp;" "&amp;YEAR(A1381))</f>
        <v/>
      </c>
      <c r="G1381" s="8"/>
    </row>
    <row r="1382" spans="1:7">
      <c r="A1382" s="7"/>
      <c r="B1382" s="6" t="str">
        <f>IF(A1382="","",LOWER(TEXT(A1382,"[$-es-ES]mmmm"))&amp;" "&amp;YEAR(A1382))</f>
        <v/>
      </c>
      <c r="G1382" s="8"/>
    </row>
    <row r="1383" spans="1:7">
      <c r="A1383" s="7"/>
      <c r="B1383" s="6" t="str">
        <f>IF(A1383="","",LOWER(TEXT(A1383,"[$-es-ES]mmmm"))&amp;" "&amp;YEAR(A1383))</f>
        <v/>
      </c>
      <c r="G1383" s="8"/>
    </row>
    <row r="1384" spans="1:7">
      <c r="A1384" s="7"/>
      <c r="B1384" s="6" t="str">
        <f>IF(A1384="","",LOWER(TEXT(A1384,"[$-es-ES]mmmm"))&amp;" "&amp;YEAR(A1384))</f>
        <v/>
      </c>
      <c r="G1384" s="8"/>
    </row>
    <row r="1385" spans="1:7">
      <c r="A1385" s="7"/>
      <c r="B1385" s="6" t="str">
        <f>IF(A1385="","",LOWER(TEXT(A1385,"[$-es-ES]mmmm"))&amp;" "&amp;YEAR(A1385))</f>
        <v/>
      </c>
      <c r="G1385" s="8"/>
    </row>
    <row r="1386" spans="1:7">
      <c r="A1386" s="7"/>
      <c r="B1386" s="6" t="str">
        <f>IF(A1386="","",LOWER(TEXT(A1386,"[$-es-ES]mmmm"))&amp;" "&amp;YEAR(A1386))</f>
        <v/>
      </c>
      <c r="G1386" s="8"/>
    </row>
    <row r="1387" spans="1:7">
      <c r="A1387" s="7"/>
      <c r="B1387" s="6" t="str">
        <f>IF(A1387="","",LOWER(TEXT(A1387,"[$-es-ES]mmmm"))&amp;" "&amp;YEAR(A1387))</f>
        <v/>
      </c>
      <c r="G1387" s="8"/>
    </row>
    <row r="1388" spans="1:7">
      <c r="A1388" s="7"/>
      <c r="B1388" s="6" t="str">
        <f>IF(A1388="","",LOWER(TEXT(A1388,"[$-es-ES]mmmm"))&amp;" "&amp;YEAR(A1388))</f>
        <v/>
      </c>
      <c r="G1388" s="8"/>
    </row>
    <row r="1389" spans="1:7">
      <c r="A1389" s="7"/>
      <c r="B1389" s="6" t="str">
        <f>IF(A1389="","",LOWER(TEXT(A1389,"[$-es-ES]mmmm"))&amp;" "&amp;YEAR(A1389))</f>
        <v/>
      </c>
      <c r="G1389" s="8"/>
    </row>
    <row r="1390" spans="1:7">
      <c r="A1390" s="7"/>
      <c r="B1390" s="6" t="str">
        <f>IF(A1390="","",LOWER(TEXT(A1390,"[$-es-ES]mmmm"))&amp;" "&amp;YEAR(A1390))</f>
        <v/>
      </c>
      <c r="G1390" s="8"/>
    </row>
    <row r="1391" spans="1:7">
      <c r="A1391" s="7"/>
      <c r="B1391" s="6" t="str">
        <f>IF(A1391="","",LOWER(TEXT(A1391,"[$-es-ES]mmmm"))&amp;" "&amp;YEAR(A1391))</f>
        <v/>
      </c>
      <c r="G1391" s="8"/>
    </row>
    <row r="1392" spans="1:7">
      <c r="A1392" s="7"/>
      <c r="B1392" s="6" t="str">
        <f>IF(A1392="","",LOWER(TEXT(A1392,"[$-es-ES]mmmm"))&amp;" "&amp;YEAR(A1392))</f>
        <v/>
      </c>
      <c r="G1392" s="8"/>
    </row>
    <row r="1393" spans="1:7">
      <c r="A1393" s="7"/>
      <c r="B1393" s="6" t="str">
        <f>IF(A1393="","",LOWER(TEXT(A1393,"[$-es-ES]mmmm"))&amp;" "&amp;YEAR(A1393))</f>
        <v/>
      </c>
      <c r="G1393" s="8"/>
    </row>
    <row r="1394" spans="1:7">
      <c r="A1394" s="7"/>
      <c r="B1394" s="6" t="str">
        <f>IF(A1394="","",LOWER(TEXT(A1394,"[$-es-ES]mmmm"))&amp;" "&amp;YEAR(A1394))</f>
        <v/>
      </c>
      <c r="G1394" s="8"/>
    </row>
    <row r="1395" spans="1:7">
      <c r="A1395" s="7"/>
      <c r="B1395" s="6" t="str">
        <f>IF(A1395="","",LOWER(TEXT(A1395,"[$-es-ES]mmmm"))&amp;" "&amp;YEAR(A1395))</f>
        <v/>
      </c>
      <c r="G1395" s="8"/>
    </row>
    <row r="1396" spans="1:7">
      <c r="A1396" s="7"/>
      <c r="B1396" s="6" t="str">
        <f>IF(A1396="","",LOWER(TEXT(A1396,"[$-es-ES]mmmm"))&amp;" "&amp;YEAR(A1396))</f>
        <v/>
      </c>
      <c r="G1396" s="8"/>
    </row>
    <row r="1397" spans="1:7">
      <c r="A1397" s="7"/>
      <c r="B1397" s="6" t="str">
        <f>IF(A1397="","",LOWER(TEXT(A1397,"[$-es-ES]mmmm"))&amp;" "&amp;YEAR(A1397))</f>
        <v/>
      </c>
      <c r="G1397" s="8"/>
    </row>
    <row r="1398" spans="1:7">
      <c r="A1398" s="7"/>
      <c r="B1398" s="6" t="str">
        <f>IF(A1398="","",LOWER(TEXT(A1398,"[$-es-ES]mmmm"))&amp;" "&amp;YEAR(A1398))</f>
        <v/>
      </c>
      <c r="G1398" s="8"/>
    </row>
    <row r="1399" spans="1:7">
      <c r="A1399" s="7"/>
      <c r="B1399" s="6" t="str">
        <f>IF(A1399="","",LOWER(TEXT(A1399,"[$-es-ES]mmmm"))&amp;" "&amp;YEAR(A1399))</f>
        <v/>
      </c>
      <c r="G1399" s="8"/>
    </row>
    <row r="1400" spans="1:7">
      <c r="A1400" s="7"/>
      <c r="B1400" s="6" t="str">
        <f>IF(A1400="","",LOWER(TEXT(A1400,"[$-es-ES]mmmm"))&amp;" "&amp;YEAR(A1400))</f>
        <v/>
      </c>
      <c r="G1400" s="8"/>
    </row>
    <row r="1401" spans="1:7">
      <c r="A1401" s="7"/>
      <c r="B1401" s="6" t="str">
        <f>IF(A1401="","",LOWER(TEXT(A1401,"[$-es-ES]mmmm"))&amp;" "&amp;YEAR(A1401))</f>
        <v/>
      </c>
      <c r="G1401" s="8"/>
    </row>
    <row r="1402" spans="1:7">
      <c r="A1402" s="7"/>
      <c r="B1402" s="6" t="str">
        <f>IF(A1402="","",LOWER(TEXT(A1402,"[$-es-ES]mmmm"))&amp;" "&amp;YEAR(A1402))</f>
        <v/>
      </c>
      <c r="G1402" s="8"/>
    </row>
    <row r="1403" spans="1:7">
      <c r="A1403" s="7"/>
      <c r="B1403" s="6" t="str">
        <f>IF(A1403="","",LOWER(TEXT(A1403,"[$-es-ES]mmmm"))&amp;" "&amp;YEAR(A1403))</f>
        <v/>
      </c>
      <c r="G1403" s="8"/>
    </row>
    <row r="1404" spans="1:7">
      <c r="A1404" s="7"/>
      <c r="B1404" s="6" t="str">
        <f>IF(A1404="","",LOWER(TEXT(A1404,"[$-es-ES]mmmm"))&amp;" "&amp;YEAR(A1404))</f>
        <v/>
      </c>
      <c r="G1404" s="8"/>
    </row>
    <row r="1405" spans="1:7">
      <c r="A1405" s="7"/>
      <c r="B1405" s="6" t="str">
        <f>IF(A1405="","",LOWER(TEXT(A1405,"[$-es-ES]mmmm"))&amp;" "&amp;YEAR(A1405))</f>
        <v/>
      </c>
      <c r="G1405" s="8"/>
    </row>
    <row r="1406" spans="1:7">
      <c r="A1406" s="7"/>
      <c r="B1406" s="6" t="str">
        <f>IF(A1406="","",LOWER(TEXT(A1406,"[$-es-ES]mmmm"))&amp;" "&amp;YEAR(A1406))</f>
        <v/>
      </c>
      <c r="G1406" s="8"/>
    </row>
    <row r="1407" spans="1:7">
      <c r="A1407" s="7"/>
      <c r="B1407" s="6" t="str">
        <f>IF(A1407="","",LOWER(TEXT(A1407,"[$-es-ES]mmmm"))&amp;" "&amp;YEAR(A1407))</f>
        <v/>
      </c>
      <c r="G1407" s="8"/>
    </row>
    <row r="1408" spans="1:7">
      <c r="A1408" s="7"/>
      <c r="B1408" s="6" t="str">
        <f>IF(A1408="","",LOWER(TEXT(A1408,"[$-es-ES]mmmm"))&amp;" "&amp;YEAR(A1408))</f>
        <v/>
      </c>
      <c r="G1408" s="8"/>
    </row>
    <row r="1409" spans="1:7">
      <c r="A1409" s="7"/>
      <c r="B1409" s="6" t="str">
        <f>IF(A1409="","",LOWER(TEXT(A1409,"[$-es-ES]mmmm"))&amp;" "&amp;YEAR(A1409))</f>
        <v/>
      </c>
      <c r="G1409" s="8"/>
    </row>
    <row r="1410" spans="1:7">
      <c r="A1410" s="7"/>
      <c r="B1410" s="6" t="str">
        <f>IF(A1410="","",LOWER(TEXT(A1410,"[$-es-ES]mmmm"))&amp;" "&amp;YEAR(A1410))</f>
        <v/>
      </c>
      <c r="G1410" s="8"/>
    </row>
    <row r="1411" spans="1:7">
      <c r="A1411" s="7"/>
      <c r="B1411" s="6" t="str">
        <f>IF(A1411="","",LOWER(TEXT(A1411,"[$-es-ES]mmmm"))&amp;" "&amp;YEAR(A1411))</f>
        <v/>
      </c>
      <c r="G1411" s="8"/>
    </row>
    <row r="1412" spans="1:7">
      <c r="A1412" s="7"/>
      <c r="B1412" s="6" t="str">
        <f>IF(A1412="","",LOWER(TEXT(A1412,"[$-es-ES]mmmm"))&amp;" "&amp;YEAR(A1412))</f>
        <v/>
      </c>
      <c r="G1412" s="8"/>
    </row>
    <row r="1413" spans="1:7">
      <c r="A1413" s="7"/>
      <c r="B1413" s="6" t="str">
        <f>IF(A1413="","",LOWER(TEXT(A1413,"[$-es-ES]mmmm"))&amp;" "&amp;YEAR(A1413))</f>
        <v/>
      </c>
      <c r="G1413" s="8"/>
    </row>
    <row r="1414" spans="1:7">
      <c r="A1414" s="7"/>
      <c r="B1414" s="6" t="str">
        <f>IF(A1414="","",LOWER(TEXT(A1414,"[$-es-ES]mmmm"))&amp;" "&amp;YEAR(A1414))</f>
        <v/>
      </c>
      <c r="G1414" s="8"/>
    </row>
    <row r="1415" spans="1:7">
      <c r="A1415" s="7"/>
      <c r="B1415" s="6" t="str">
        <f>IF(A1415="","",LOWER(TEXT(A1415,"[$-es-ES]mmmm"))&amp;" "&amp;YEAR(A1415))</f>
        <v/>
      </c>
      <c r="G1415" s="8"/>
    </row>
    <row r="1416" spans="1:7">
      <c r="A1416" s="7"/>
      <c r="B1416" s="6" t="str">
        <f>IF(A1416="","",LOWER(TEXT(A1416,"[$-es-ES]mmmm"))&amp;" "&amp;YEAR(A1416))</f>
        <v/>
      </c>
      <c r="G1416" s="8"/>
    </row>
    <row r="1417" spans="1:7">
      <c r="A1417" s="7"/>
      <c r="B1417" s="6" t="str">
        <f>IF(A1417="","",LOWER(TEXT(A1417,"[$-es-ES]mmmm"))&amp;" "&amp;YEAR(A1417))</f>
        <v/>
      </c>
      <c r="G1417" s="8"/>
    </row>
    <row r="1418" spans="1:7">
      <c r="A1418" s="7"/>
      <c r="B1418" s="6" t="str">
        <f>IF(A1418="","",LOWER(TEXT(A1418,"[$-es-ES]mmmm"))&amp;" "&amp;YEAR(A1418))</f>
        <v/>
      </c>
      <c r="G1418" s="8"/>
    </row>
    <row r="1419" spans="1:7">
      <c r="A1419" s="7"/>
      <c r="B1419" s="6" t="str">
        <f>IF(A1419="","",LOWER(TEXT(A1419,"[$-es-ES]mmmm"))&amp;" "&amp;YEAR(A1419))</f>
        <v/>
      </c>
      <c r="G1419" s="8"/>
    </row>
    <row r="1420" spans="1:7">
      <c r="A1420" s="7"/>
      <c r="B1420" s="6" t="str">
        <f>IF(A1420="","",LOWER(TEXT(A1420,"[$-es-ES]mmmm"))&amp;" "&amp;YEAR(A1420))</f>
        <v/>
      </c>
      <c r="G1420" s="8"/>
    </row>
    <row r="1421" spans="1:7">
      <c r="A1421" s="7"/>
      <c r="B1421" s="6" t="str">
        <f>IF(A1421="","",LOWER(TEXT(A1421,"[$-es-ES]mmmm"))&amp;" "&amp;YEAR(A1421))</f>
        <v/>
      </c>
      <c r="G1421" s="8"/>
    </row>
    <row r="1422" spans="1:7">
      <c r="A1422" s="7"/>
      <c r="B1422" s="6" t="str">
        <f>IF(A1422="","",LOWER(TEXT(A1422,"[$-es-ES]mmmm"))&amp;" "&amp;YEAR(A1422))</f>
        <v/>
      </c>
      <c r="G1422" s="8"/>
    </row>
    <row r="1423" spans="1:7">
      <c r="A1423" s="7"/>
      <c r="B1423" s="6" t="str">
        <f>IF(A1423="","",LOWER(TEXT(A1423,"[$-es-ES]mmmm"))&amp;" "&amp;YEAR(A1423))</f>
        <v/>
      </c>
      <c r="G1423" s="8"/>
    </row>
    <row r="1424" spans="1:7">
      <c r="A1424" s="7"/>
      <c r="B1424" s="6" t="str">
        <f>IF(A1424="","",LOWER(TEXT(A1424,"[$-es-ES]mmmm"))&amp;" "&amp;YEAR(A1424))</f>
        <v/>
      </c>
      <c r="G1424" s="8"/>
    </row>
    <row r="1425" spans="1:7">
      <c r="A1425" s="7"/>
      <c r="B1425" s="6" t="str">
        <f>IF(A1425="","",LOWER(TEXT(A1425,"[$-es-ES]mmmm"))&amp;" "&amp;YEAR(A1425))</f>
        <v/>
      </c>
      <c r="G1425" s="8"/>
    </row>
    <row r="1426" spans="1:7">
      <c r="A1426" s="7"/>
      <c r="B1426" s="6" t="str">
        <f>IF(A1426="","",LOWER(TEXT(A1426,"[$-es-ES]mmmm"))&amp;" "&amp;YEAR(A1426))</f>
        <v/>
      </c>
      <c r="G1426" s="8"/>
    </row>
    <row r="1427" spans="1:7">
      <c r="A1427" s="7"/>
      <c r="B1427" s="6" t="str">
        <f>IF(A1427="","",LOWER(TEXT(A1427,"[$-es-ES]mmmm"))&amp;" "&amp;YEAR(A1427))</f>
        <v/>
      </c>
      <c r="G1427" s="8"/>
    </row>
    <row r="1428" spans="1:7">
      <c r="A1428" s="7"/>
      <c r="B1428" s="6" t="str">
        <f>IF(A1428="","",LOWER(TEXT(A1428,"[$-es-ES]mmmm"))&amp;" "&amp;YEAR(A1428))</f>
        <v/>
      </c>
      <c r="G1428" s="8"/>
    </row>
    <row r="1429" spans="1:7">
      <c r="A1429" s="7"/>
      <c r="B1429" s="6" t="str">
        <f>IF(A1429="","",LOWER(TEXT(A1429,"[$-es-ES]mmmm"))&amp;" "&amp;YEAR(A1429))</f>
        <v/>
      </c>
      <c r="G1429" s="8"/>
    </row>
    <row r="1430" spans="1:7">
      <c r="A1430" s="7"/>
      <c r="B1430" s="6" t="str">
        <f>IF(A1430="","",LOWER(TEXT(A1430,"[$-es-ES]mmmm"))&amp;" "&amp;YEAR(A1430))</f>
        <v/>
      </c>
      <c r="G1430" s="8"/>
    </row>
    <row r="1431" spans="1:7">
      <c r="A1431" s="7"/>
      <c r="B1431" s="6" t="str">
        <f>IF(A1431="","",LOWER(TEXT(A1431,"[$-es-ES]mmmm"))&amp;" "&amp;YEAR(A1431))</f>
        <v/>
      </c>
      <c r="G1431" s="8"/>
    </row>
    <row r="1432" spans="1:7">
      <c r="A1432" s="7"/>
      <c r="B1432" s="6" t="str">
        <f>IF(A1432="","",LOWER(TEXT(A1432,"[$-es-ES]mmmm"))&amp;" "&amp;YEAR(A1432))</f>
        <v/>
      </c>
      <c r="G1432" s="8"/>
    </row>
    <row r="1433" spans="1:7">
      <c r="A1433" s="7"/>
      <c r="B1433" s="6" t="str">
        <f>IF(A1433="","",LOWER(TEXT(A1433,"[$-es-ES]mmmm"))&amp;" "&amp;YEAR(A1433))</f>
        <v/>
      </c>
      <c r="G1433" s="8"/>
    </row>
    <row r="1434" spans="1:7">
      <c r="A1434" s="7"/>
      <c r="B1434" s="6" t="str">
        <f>IF(A1434="","",LOWER(TEXT(A1434,"[$-es-ES]mmmm"))&amp;" "&amp;YEAR(A1434))</f>
        <v/>
      </c>
      <c r="G1434" s="8"/>
    </row>
    <row r="1435" spans="1:7">
      <c r="A1435" s="7"/>
      <c r="B1435" s="6" t="str">
        <f>IF(A1435="","",LOWER(TEXT(A1435,"[$-es-ES]mmmm"))&amp;" "&amp;YEAR(A1435))</f>
        <v/>
      </c>
      <c r="G1435" s="8"/>
    </row>
    <row r="1436" spans="1:7">
      <c r="A1436" s="7"/>
      <c r="B1436" s="6" t="str">
        <f>IF(A1436="","",LOWER(TEXT(A1436,"[$-es-ES]mmmm"))&amp;" "&amp;YEAR(A1436))</f>
        <v/>
      </c>
      <c r="G1436" s="8"/>
    </row>
    <row r="1437" spans="1:7">
      <c r="A1437" s="7"/>
      <c r="B1437" s="6" t="str">
        <f>IF(A1437="","",LOWER(TEXT(A1437,"[$-es-ES]mmmm"))&amp;" "&amp;YEAR(A1437))</f>
        <v/>
      </c>
      <c r="G1437" s="8"/>
    </row>
    <row r="1438" spans="1:7">
      <c r="A1438" s="7"/>
      <c r="B1438" s="6" t="str">
        <f>IF(A1438="","",LOWER(TEXT(A1438,"[$-es-ES]mmmm"))&amp;" "&amp;YEAR(A1438))</f>
        <v/>
      </c>
      <c r="G1438" s="8"/>
    </row>
    <row r="1439" spans="1:7">
      <c r="A1439" s="7"/>
      <c r="B1439" s="6" t="str">
        <f>IF(A1439="","",LOWER(TEXT(A1439,"[$-es-ES]mmmm"))&amp;" "&amp;YEAR(A1439))</f>
        <v/>
      </c>
      <c r="G1439" s="8"/>
    </row>
    <row r="1440" spans="1:7">
      <c r="A1440" s="7"/>
      <c r="B1440" s="6" t="str">
        <f>IF(A1440="","",LOWER(TEXT(A1440,"[$-es-ES]mmmm"))&amp;" "&amp;YEAR(A1440))</f>
        <v/>
      </c>
      <c r="G1440" s="8"/>
    </row>
    <row r="1441" spans="1:7">
      <c r="A1441" s="7"/>
      <c r="B1441" s="6" t="str">
        <f>IF(A1441="","",LOWER(TEXT(A1441,"[$-es-ES]mmmm"))&amp;" "&amp;YEAR(A1441))</f>
        <v/>
      </c>
      <c r="G1441" s="8"/>
    </row>
    <row r="1442" spans="1:7">
      <c r="A1442" s="7"/>
      <c r="B1442" s="6" t="str">
        <f>IF(A1442="","",LOWER(TEXT(A1442,"[$-es-ES]mmmm"))&amp;" "&amp;YEAR(A1442))</f>
        <v/>
      </c>
      <c r="G1442" s="8"/>
    </row>
    <row r="1443" spans="1:7">
      <c r="A1443" s="7"/>
      <c r="B1443" s="6" t="str">
        <f>IF(A1443="","",LOWER(TEXT(A1443,"[$-es-ES]mmmm"))&amp;" "&amp;YEAR(A1443))</f>
        <v/>
      </c>
      <c r="G1443" s="8"/>
    </row>
    <row r="1444" spans="1:7">
      <c r="A1444" s="7"/>
      <c r="B1444" s="6" t="str">
        <f>IF(A1444="","",LOWER(TEXT(A1444,"[$-es-ES]mmmm"))&amp;" "&amp;YEAR(A1444))</f>
        <v/>
      </c>
      <c r="G1444" s="8"/>
    </row>
    <row r="1445" spans="1:7">
      <c r="A1445" s="7"/>
      <c r="B1445" s="6" t="str">
        <f>IF(A1445="","",LOWER(TEXT(A1445,"[$-es-ES]mmmm"))&amp;" "&amp;YEAR(A1445))</f>
        <v/>
      </c>
      <c r="G1445" s="8"/>
    </row>
    <row r="1446" spans="1:7">
      <c r="A1446" s="7"/>
      <c r="B1446" s="6" t="str">
        <f>IF(A1446="","",LOWER(TEXT(A1446,"[$-es-ES]mmmm"))&amp;" "&amp;YEAR(A1446))</f>
        <v/>
      </c>
      <c r="G1446" s="8"/>
    </row>
    <row r="1447" spans="1:7">
      <c r="A1447" s="7"/>
      <c r="B1447" s="6" t="str">
        <f>IF(A1447="","",LOWER(TEXT(A1447,"[$-es-ES]mmmm"))&amp;" "&amp;YEAR(A1447))</f>
        <v/>
      </c>
      <c r="G1447" s="8"/>
    </row>
    <row r="1448" spans="1:7">
      <c r="A1448" s="7"/>
      <c r="B1448" s="6" t="str">
        <f>IF(A1448="","",LOWER(TEXT(A1448,"[$-es-ES]mmmm"))&amp;" "&amp;YEAR(A1448))</f>
        <v/>
      </c>
      <c r="G1448" s="8"/>
    </row>
    <row r="1449" spans="1:7">
      <c r="A1449" s="7"/>
      <c r="B1449" s="6" t="str">
        <f>IF(A1449="","",LOWER(TEXT(A1449,"[$-es-ES]mmmm"))&amp;" "&amp;YEAR(A1449))</f>
        <v/>
      </c>
      <c r="G1449" s="8"/>
    </row>
    <row r="1450" spans="1:7">
      <c r="A1450" s="7"/>
      <c r="B1450" s="6" t="str">
        <f>IF(A1450="","",LOWER(TEXT(A1450,"[$-es-ES]mmmm"))&amp;" "&amp;YEAR(A1450))</f>
        <v/>
      </c>
      <c r="G1450" s="8"/>
    </row>
    <row r="1451" spans="1:7">
      <c r="A1451" s="7"/>
      <c r="B1451" s="6" t="str">
        <f>IF(A1451="","",LOWER(TEXT(A1451,"[$-es-ES]mmmm"))&amp;" "&amp;YEAR(A1451))</f>
        <v/>
      </c>
      <c r="G1451" s="8"/>
    </row>
    <row r="1452" spans="1:7">
      <c r="A1452" s="7"/>
      <c r="B1452" s="6" t="str">
        <f>IF(A1452="","",LOWER(TEXT(A1452,"[$-es-ES]mmmm"))&amp;" "&amp;YEAR(A1452))</f>
        <v/>
      </c>
      <c r="G1452" s="8"/>
    </row>
    <row r="1453" spans="1:7">
      <c r="A1453" s="7"/>
      <c r="B1453" s="6" t="str">
        <f>IF(A1453="","",LOWER(TEXT(A1453,"[$-es-ES]mmmm"))&amp;" "&amp;YEAR(A1453))</f>
        <v/>
      </c>
      <c r="G1453" s="8"/>
    </row>
    <row r="1454" spans="1:7">
      <c r="A1454" s="7"/>
      <c r="B1454" s="6" t="str">
        <f>IF(A1454="","",LOWER(TEXT(A1454,"[$-es-ES]mmmm"))&amp;" "&amp;YEAR(A1454))</f>
        <v/>
      </c>
      <c r="G1454" s="8"/>
    </row>
    <row r="1455" spans="1:7">
      <c r="A1455" s="7"/>
      <c r="B1455" s="6" t="str">
        <f>IF(A1455="","",LOWER(TEXT(A1455,"[$-es-ES]mmmm"))&amp;" "&amp;YEAR(A1455))</f>
        <v/>
      </c>
      <c r="G1455" s="8"/>
    </row>
    <row r="1456" spans="1:7">
      <c r="A1456" s="7"/>
      <c r="B1456" s="6" t="str">
        <f>IF(A1456="","",LOWER(TEXT(A1456,"[$-es-ES]mmmm"))&amp;" "&amp;YEAR(A1456))</f>
        <v/>
      </c>
      <c r="G1456" s="8"/>
    </row>
    <row r="1457" spans="1:7">
      <c r="A1457" s="7"/>
      <c r="B1457" s="6" t="str">
        <f>IF(A1457="","",LOWER(TEXT(A1457,"[$-es-ES]mmmm"))&amp;" "&amp;YEAR(A1457))</f>
        <v/>
      </c>
      <c r="G1457" s="8"/>
    </row>
    <row r="1458" spans="1:7">
      <c r="A1458" s="7"/>
      <c r="B1458" s="6" t="str">
        <f>IF(A1458="","",LOWER(TEXT(A1458,"[$-es-ES]mmmm"))&amp;" "&amp;YEAR(A1458))</f>
        <v/>
      </c>
      <c r="G1458" s="8"/>
    </row>
    <row r="1459" spans="1:7">
      <c r="A1459" s="7"/>
      <c r="B1459" s="6" t="str">
        <f>IF(A1459="","",LOWER(TEXT(A1459,"[$-es-ES]mmmm"))&amp;" "&amp;YEAR(A1459))</f>
        <v/>
      </c>
      <c r="G1459" s="8"/>
    </row>
    <row r="1460" spans="1:7">
      <c r="A1460" s="7"/>
      <c r="B1460" s="6" t="str">
        <f>IF(A1460="","",LOWER(TEXT(A1460,"[$-es-ES]mmmm"))&amp;" "&amp;YEAR(A1460))</f>
        <v/>
      </c>
      <c r="G1460" s="8"/>
    </row>
    <row r="1461" spans="1:7">
      <c r="A1461" s="7"/>
      <c r="B1461" s="6" t="str">
        <f>IF(A1461="","",LOWER(TEXT(A1461,"[$-es-ES]mmmm"))&amp;" "&amp;YEAR(A1461))</f>
        <v/>
      </c>
      <c r="G1461" s="8"/>
    </row>
    <row r="1462" spans="1:7">
      <c r="A1462" s="7"/>
      <c r="B1462" s="6" t="str">
        <f>IF(A1462="","",LOWER(TEXT(A1462,"[$-es-ES]mmmm"))&amp;" "&amp;YEAR(A1462))</f>
        <v/>
      </c>
      <c r="G1462" s="8"/>
    </row>
    <row r="1463" spans="1:7">
      <c r="A1463" s="7"/>
      <c r="B1463" s="6" t="str">
        <f>IF(A1463="","",LOWER(TEXT(A1463,"[$-es-ES]mmmm"))&amp;" "&amp;YEAR(A1463))</f>
        <v/>
      </c>
      <c r="G1463" s="8"/>
    </row>
    <row r="1464" spans="1:7">
      <c r="A1464" s="7"/>
      <c r="B1464" s="6" t="str">
        <f>IF(A1464="","",LOWER(TEXT(A1464,"[$-es-ES]mmmm"))&amp;" "&amp;YEAR(A1464))</f>
        <v/>
      </c>
      <c r="G1464" s="8"/>
    </row>
    <row r="1465" spans="1:7">
      <c r="A1465" s="7"/>
      <c r="B1465" s="6" t="str">
        <f>IF(A1465="","",LOWER(TEXT(A1465,"[$-es-ES]mmmm"))&amp;" "&amp;YEAR(A1465))</f>
        <v/>
      </c>
      <c r="G1465" s="8"/>
    </row>
    <row r="1466" spans="1:7">
      <c r="A1466" s="7"/>
      <c r="B1466" s="6" t="str">
        <f>IF(A1466="","",LOWER(TEXT(A1466,"[$-es-ES]mmmm"))&amp;" "&amp;YEAR(A1466))</f>
        <v/>
      </c>
      <c r="G1466" s="8"/>
    </row>
    <row r="1467" spans="1:7">
      <c r="A1467" s="7"/>
      <c r="B1467" s="6" t="str">
        <f>IF(A1467="","",LOWER(TEXT(A1467,"[$-es-ES]mmmm"))&amp;" "&amp;YEAR(A1467))</f>
        <v/>
      </c>
      <c r="G1467" s="8"/>
    </row>
    <row r="1468" spans="1:7">
      <c r="A1468" s="7"/>
      <c r="B1468" s="6" t="str">
        <f>IF(A1468="","",LOWER(TEXT(A1468,"[$-es-ES]mmmm"))&amp;" "&amp;YEAR(A1468))</f>
        <v/>
      </c>
      <c r="G1468" s="8"/>
    </row>
    <row r="1469" spans="1:7">
      <c r="A1469" s="7"/>
      <c r="B1469" s="6" t="str">
        <f>IF(A1469="","",LOWER(TEXT(A1469,"[$-es-ES]mmmm"))&amp;" "&amp;YEAR(A1469))</f>
        <v/>
      </c>
      <c r="G1469" s="8"/>
    </row>
    <row r="1470" spans="1:7">
      <c r="A1470" s="7"/>
      <c r="B1470" s="6" t="str">
        <f>IF(A1470="","",LOWER(TEXT(A1470,"[$-es-ES]mmmm"))&amp;" "&amp;YEAR(A1470))</f>
        <v/>
      </c>
      <c r="G1470" s="8"/>
    </row>
    <row r="1471" spans="1:7">
      <c r="A1471" s="7"/>
      <c r="B1471" s="6" t="str">
        <f>IF(A1471="","",LOWER(TEXT(A1471,"[$-es-ES]mmmm"))&amp;" "&amp;YEAR(A1471))</f>
        <v/>
      </c>
      <c r="G1471" s="8"/>
    </row>
    <row r="1472" spans="1:7">
      <c r="A1472" s="7"/>
      <c r="B1472" s="6" t="str">
        <f>IF(A1472="","",LOWER(TEXT(A1472,"[$-es-ES]mmmm"))&amp;" "&amp;YEAR(A1472))</f>
        <v/>
      </c>
      <c r="G1472" s="8"/>
    </row>
    <row r="1473" spans="1:7">
      <c r="A1473" s="7"/>
      <c r="B1473" s="6" t="str">
        <f>IF(A1473="","",LOWER(TEXT(A1473,"[$-es-ES]mmmm"))&amp;" "&amp;YEAR(A1473))</f>
        <v/>
      </c>
      <c r="G1473" s="8"/>
    </row>
    <row r="1474" spans="1:7">
      <c r="A1474" s="7"/>
      <c r="B1474" s="6" t="str">
        <f>IF(A1474="","",LOWER(TEXT(A1474,"[$-es-ES]mmmm"))&amp;" "&amp;YEAR(A1474))</f>
        <v/>
      </c>
      <c r="G1474" s="8"/>
    </row>
    <row r="1475" spans="1:7">
      <c r="A1475" s="7"/>
      <c r="B1475" s="6" t="str">
        <f>IF(A1475="","",LOWER(TEXT(A1475,"[$-es-ES]mmmm"))&amp;" "&amp;YEAR(A1475))</f>
        <v/>
      </c>
      <c r="G1475" s="8"/>
    </row>
    <row r="1476" spans="1:7">
      <c r="A1476" s="7"/>
      <c r="B1476" s="6" t="str">
        <f>IF(A1476="","",LOWER(TEXT(A1476,"[$-es-ES]mmmm"))&amp;" "&amp;YEAR(A1476))</f>
        <v/>
      </c>
      <c r="G1476" s="8"/>
    </row>
    <row r="1477" spans="1:7">
      <c r="A1477" s="7"/>
      <c r="B1477" s="6" t="str">
        <f>IF(A1477="","",LOWER(TEXT(A1477,"[$-es-ES]mmmm"))&amp;" "&amp;YEAR(A1477))</f>
        <v/>
      </c>
      <c r="G1477" s="8"/>
    </row>
    <row r="1478" spans="1:7">
      <c r="A1478" s="7"/>
      <c r="B1478" s="6" t="str">
        <f>IF(A1478="","",LOWER(TEXT(A1478,"[$-es-ES]mmmm"))&amp;" "&amp;YEAR(A1478))</f>
        <v/>
      </c>
      <c r="G1478" s="8"/>
    </row>
    <row r="1479" spans="1:7">
      <c r="A1479" s="7"/>
      <c r="B1479" s="6" t="str">
        <f>IF(A1479="","",LOWER(TEXT(A1479,"[$-es-ES]mmmm"))&amp;" "&amp;YEAR(A1479))</f>
        <v/>
      </c>
      <c r="G1479" s="8"/>
    </row>
    <row r="1480" spans="1:7">
      <c r="A1480" s="7"/>
      <c r="B1480" s="6" t="str">
        <f>IF(A1480="","",LOWER(TEXT(A1480,"[$-es-ES]mmmm"))&amp;" "&amp;YEAR(A1480))</f>
        <v/>
      </c>
      <c r="G1480" s="8"/>
    </row>
    <row r="1481" spans="1:7">
      <c r="A1481" s="7"/>
      <c r="B1481" s="6" t="str">
        <f>IF(A1481="","",LOWER(TEXT(A1481,"[$-es-ES]mmmm"))&amp;" "&amp;YEAR(A1481))</f>
        <v/>
      </c>
      <c r="G1481" s="8"/>
    </row>
    <row r="1482" spans="1:7">
      <c r="A1482" s="7"/>
      <c r="B1482" s="6" t="str">
        <f>IF(A1482="","",LOWER(TEXT(A1482,"[$-es-ES]mmmm"))&amp;" "&amp;YEAR(A1482))</f>
        <v/>
      </c>
      <c r="G1482" s="8"/>
    </row>
    <row r="1483" spans="1:7">
      <c r="A1483" s="7"/>
      <c r="B1483" s="6" t="str">
        <f>IF(A1483="","",LOWER(TEXT(A1483,"[$-es-ES]mmmm"))&amp;" "&amp;YEAR(A1483))</f>
        <v/>
      </c>
      <c r="G1483" s="8"/>
    </row>
    <row r="1484" spans="1:7">
      <c r="A1484" s="7"/>
      <c r="B1484" s="6" t="str">
        <f>IF(A1484="","",LOWER(TEXT(A1484,"[$-es-ES]mmmm"))&amp;" "&amp;YEAR(A1484))</f>
        <v/>
      </c>
      <c r="G1484" s="8"/>
    </row>
    <row r="1485" spans="1:7">
      <c r="A1485" s="7"/>
      <c r="B1485" s="6" t="str">
        <f>IF(A1485="","",LOWER(TEXT(A1485,"[$-es-ES]mmmm"))&amp;" "&amp;YEAR(A1485))</f>
        <v/>
      </c>
      <c r="G1485" s="8"/>
    </row>
    <row r="1486" spans="1:7">
      <c r="A1486" s="7"/>
      <c r="B1486" s="6" t="str">
        <f>IF(A1486="","",LOWER(TEXT(A1486,"[$-es-ES]mmmm"))&amp;" "&amp;YEAR(A1486))</f>
        <v/>
      </c>
      <c r="G1486" s="8"/>
    </row>
    <row r="1487" spans="1:7">
      <c r="A1487" s="7"/>
      <c r="B1487" s="6" t="str">
        <f>IF(A1487="","",LOWER(TEXT(A1487,"[$-es-ES]mmmm"))&amp;" "&amp;YEAR(A1487))</f>
        <v/>
      </c>
      <c r="G1487" s="8"/>
    </row>
    <row r="1488" spans="1:7">
      <c r="A1488" s="7"/>
      <c r="B1488" s="6" t="str">
        <f>IF(A1488="","",LOWER(TEXT(A1488,"[$-es-ES]mmmm"))&amp;" "&amp;YEAR(A1488))</f>
        <v/>
      </c>
      <c r="G1488" s="8"/>
    </row>
    <row r="1489" spans="1:7">
      <c r="A1489" s="7"/>
      <c r="B1489" s="6" t="str">
        <f>IF(A1489="","",LOWER(TEXT(A1489,"[$-es-ES]mmmm"))&amp;" "&amp;YEAR(A1489))</f>
        <v/>
      </c>
      <c r="G1489" s="8"/>
    </row>
    <row r="1490" spans="1:7">
      <c r="A1490" s="7"/>
      <c r="B1490" s="6" t="str">
        <f>IF(A1490="","",LOWER(TEXT(A1490,"[$-es-ES]mmmm"))&amp;" "&amp;YEAR(A1490))</f>
        <v/>
      </c>
      <c r="G1490" s="8"/>
    </row>
    <row r="1491" spans="1:7">
      <c r="A1491" s="7"/>
      <c r="B1491" s="6" t="str">
        <f>IF(A1491="","",LOWER(TEXT(A1491,"[$-es-ES]mmmm"))&amp;" "&amp;YEAR(A1491))</f>
        <v/>
      </c>
      <c r="G1491" s="8"/>
    </row>
    <row r="1492" spans="1:7">
      <c r="A1492" s="7"/>
      <c r="B1492" s="6" t="str">
        <f>IF(A1492="","",LOWER(TEXT(A1492,"[$-es-ES]mmmm"))&amp;" "&amp;YEAR(A1492))</f>
        <v/>
      </c>
      <c r="G1492" s="8"/>
    </row>
    <row r="1493" spans="1:7">
      <c r="A1493" s="7"/>
      <c r="B1493" s="6" t="str">
        <f>IF(A1493="","",LOWER(TEXT(A1493,"[$-es-ES]mmmm"))&amp;" "&amp;YEAR(A1493))</f>
        <v/>
      </c>
      <c r="G1493" s="8"/>
    </row>
    <row r="1494" spans="1:7">
      <c r="A1494" s="7"/>
      <c r="B1494" s="6" t="str">
        <f>IF(A1494="","",LOWER(TEXT(A1494,"[$-es-ES]mmmm"))&amp;" "&amp;YEAR(A1494))</f>
        <v/>
      </c>
      <c r="G1494" s="8"/>
    </row>
    <row r="1495" spans="1:7">
      <c r="A1495" s="7"/>
      <c r="B1495" s="6" t="str">
        <f>IF(A1495="","",LOWER(TEXT(A1495,"[$-es-ES]mmmm"))&amp;" "&amp;YEAR(A1495))</f>
        <v/>
      </c>
      <c r="G1495" s="8"/>
    </row>
    <row r="1496" spans="1:7">
      <c r="A1496" s="7"/>
      <c r="B1496" s="6" t="str">
        <f>IF(A1496="","",LOWER(TEXT(A1496,"[$-es-ES]mmmm"))&amp;" "&amp;YEAR(A1496))</f>
        <v/>
      </c>
      <c r="G1496" s="8"/>
    </row>
    <row r="1497" spans="1:7">
      <c r="A1497" s="7"/>
      <c r="B1497" s="6" t="str">
        <f>IF(A1497="","",LOWER(TEXT(A1497,"[$-es-ES]mmmm"))&amp;" "&amp;YEAR(A1497))</f>
        <v/>
      </c>
      <c r="G1497" s="8"/>
    </row>
    <row r="1498" spans="1:7">
      <c r="A1498" s="7"/>
      <c r="B1498" s="6" t="str">
        <f>IF(A1498="","",LOWER(TEXT(A1498,"[$-es-ES]mmmm"))&amp;" "&amp;YEAR(A1498))</f>
        <v/>
      </c>
      <c r="G1498" s="8"/>
    </row>
    <row r="1499" spans="1:7">
      <c r="A1499" s="7"/>
      <c r="B1499" s="6" t="str">
        <f>IF(A1499="","",LOWER(TEXT(A1499,"[$-es-ES]mmmm"))&amp;" "&amp;YEAR(A1499))</f>
        <v/>
      </c>
      <c r="G1499" s="8"/>
    </row>
    <row r="1500" spans="1:7">
      <c r="A1500" s="7"/>
      <c r="B1500" s="6" t="str">
        <f>IF(A1500="","",LOWER(TEXT(A1500,"[$-es-ES]mmmm"))&amp;" "&amp;YEAR(A1500))</f>
        <v/>
      </c>
      <c r="G1500" s="8"/>
    </row>
    <row r="1501" spans="1:7">
      <c r="A1501" s="7"/>
      <c r="B1501" s="6" t="str">
        <f>IF(A1501="","",LOWER(TEXT(A1501,"[$-es-ES]mmmm"))&amp;" "&amp;YEAR(A1501))</f>
        <v/>
      </c>
      <c r="G1501" s="8"/>
    </row>
    <row r="1502" spans="1:7">
      <c r="A1502" s="7"/>
      <c r="B1502" s="6" t="str">
        <f>IF(A1502="","",LOWER(TEXT(A1502,"[$-es-ES]mmmm"))&amp;" "&amp;YEAR(A1502))</f>
        <v/>
      </c>
      <c r="G1502" s="8"/>
    </row>
    <row r="1503" spans="1:7">
      <c r="A1503" s="7"/>
      <c r="B1503" s="6" t="str">
        <f>IF(A1503="","",LOWER(TEXT(A1503,"[$-es-ES]mmmm"))&amp;" "&amp;YEAR(A1503))</f>
        <v/>
      </c>
      <c r="G1503" s="8"/>
    </row>
    <row r="1504" spans="1:7">
      <c r="A1504" s="7"/>
      <c r="B1504" s="6" t="str">
        <f>IF(A1504="","",LOWER(TEXT(A1504,"[$-es-ES]mmmm"))&amp;" "&amp;YEAR(A1504))</f>
        <v/>
      </c>
      <c r="G1504" s="8"/>
    </row>
    <row r="1505" spans="1:7">
      <c r="A1505" s="7"/>
      <c r="B1505" s="6" t="str">
        <f>IF(A1505="","",LOWER(TEXT(A1505,"[$-es-ES]mmmm"))&amp;" "&amp;YEAR(A1505))</f>
        <v/>
      </c>
      <c r="G1505" s="8"/>
    </row>
    <row r="1506" spans="1:7">
      <c r="A1506" s="7"/>
      <c r="B1506" s="6" t="str">
        <f>IF(A1506="","",LOWER(TEXT(A1506,"[$-es-ES]mmmm"))&amp;" "&amp;YEAR(A1506))</f>
        <v/>
      </c>
      <c r="G1506" s="8"/>
    </row>
    <row r="1507" spans="1:7">
      <c r="A1507" s="7"/>
      <c r="B1507" s="6" t="str">
        <f>IF(A1507="","",LOWER(TEXT(A1507,"[$-es-ES]mmmm"))&amp;" "&amp;YEAR(A1507))</f>
        <v/>
      </c>
      <c r="G1507" s="8"/>
    </row>
    <row r="1508" spans="1:7">
      <c r="A1508" s="7"/>
      <c r="B1508" s="6" t="str">
        <f>IF(A1508="","",LOWER(TEXT(A1508,"[$-es-ES]mmmm"))&amp;" "&amp;YEAR(A1508))</f>
        <v/>
      </c>
      <c r="G1508" s="8"/>
    </row>
    <row r="1509" spans="1:7">
      <c r="A1509" s="7"/>
      <c r="B1509" s="6" t="str">
        <f>IF(A1509="","",LOWER(TEXT(A1509,"[$-es-ES]mmmm"))&amp;" "&amp;YEAR(A1509))</f>
        <v/>
      </c>
      <c r="G1509" s="8"/>
    </row>
    <row r="1510" spans="1:7">
      <c r="A1510" s="7"/>
      <c r="B1510" s="6" t="str">
        <f>IF(A1510="","",LOWER(TEXT(A1510,"[$-es-ES]mmmm"))&amp;" "&amp;YEAR(A1510))</f>
        <v/>
      </c>
      <c r="G1510" s="8"/>
    </row>
    <row r="1511" spans="1:7">
      <c r="A1511" s="7"/>
      <c r="B1511" s="6" t="str">
        <f>IF(A1511="","",LOWER(TEXT(A1511,"[$-es-ES]mmmm"))&amp;" "&amp;YEAR(A1511))</f>
        <v/>
      </c>
      <c r="G1511" s="8"/>
    </row>
    <row r="1512" spans="1:7">
      <c r="A1512" s="7"/>
      <c r="B1512" s="6" t="str">
        <f>IF(A1512="","",LOWER(TEXT(A1512,"[$-es-ES]mmmm"))&amp;" "&amp;YEAR(A1512))</f>
        <v/>
      </c>
      <c r="G1512" s="8"/>
    </row>
    <row r="1513" spans="1:7">
      <c r="A1513" s="7"/>
      <c r="B1513" s="6" t="str">
        <f>IF(A1513="","",LOWER(TEXT(A1513,"[$-es-ES]mmmm"))&amp;" "&amp;YEAR(A1513))</f>
        <v/>
      </c>
      <c r="G1513" s="8"/>
    </row>
    <row r="1514" spans="1:7">
      <c r="A1514" s="7"/>
      <c r="B1514" s="6" t="str">
        <f>IF(A1514="","",LOWER(TEXT(A1514,"[$-es-ES]mmmm"))&amp;" "&amp;YEAR(A1514))</f>
        <v/>
      </c>
      <c r="G1514" s="8"/>
    </row>
    <row r="1515" spans="1:7">
      <c r="A1515" s="7"/>
      <c r="B1515" s="6" t="str">
        <f>IF(A1515="","",LOWER(TEXT(A1515,"[$-es-ES]mmmm"))&amp;" "&amp;YEAR(A1515))</f>
        <v/>
      </c>
      <c r="G1515" s="8"/>
    </row>
    <row r="1516" spans="1:7">
      <c r="A1516" s="7"/>
      <c r="B1516" s="6" t="str">
        <f>IF(A1516="","",LOWER(TEXT(A1516,"[$-es-ES]mmmm"))&amp;" "&amp;YEAR(A1516))</f>
        <v/>
      </c>
      <c r="G1516" s="8"/>
    </row>
    <row r="1517" spans="1:7">
      <c r="A1517" s="7"/>
      <c r="B1517" s="6" t="str">
        <f>IF(A1517="","",LOWER(TEXT(A1517,"[$-es-ES]mmmm"))&amp;" "&amp;YEAR(A1517))</f>
        <v/>
      </c>
      <c r="G1517" s="8"/>
    </row>
    <row r="1518" spans="1:7">
      <c r="A1518" s="7"/>
      <c r="B1518" s="6" t="str">
        <f>IF(A1518="","",LOWER(TEXT(A1518,"[$-es-ES]mmmm"))&amp;" "&amp;YEAR(A1518))</f>
        <v/>
      </c>
      <c r="G1518" s="8"/>
    </row>
    <row r="1519" spans="1:7">
      <c r="A1519" s="7"/>
      <c r="B1519" s="6" t="str">
        <f>IF(A1519="","",LOWER(TEXT(A1519,"[$-es-ES]mmmm"))&amp;" "&amp;YEAR(A1519))</f>
        <v/>
      </c>
      <c r="G1519" s="8"/>
    </row>
    <row r="1520" spans="1:7">
      <c r="A1520" s="7"/>
      <c r="B1520" s="6" t="str">
        <f>IF(A1520="","",LOWER(TEXT(A1520,"[$-es-ES]mmmm"))&amp;" "&amp;YEAR(A1520))</f>
        <v/>
      </c>
      <c r="G1520" s="8"/>
    </row>
    <row r="1521" spans="1:7">
      <c r="A1521" s="7"/>
      <c r="B1521" s="6" t="str">
        <f>IF(A1521="","",LOWER(TEXT(A1521,"[$-es-ES]mmmm"))&amp;" "&amp;YEAR(A1521))</f>
        <v/>
      </c>
      <c r="G1521" s="8"/>
    </row>
    <row r="1522" spans="1:7">
      <c r="A1522" s="7"/>
      <c r="B1522" s="6" t="str">
        <f>IF(A1522="","",LOWER(TEXT(A1522,"[$-es-ES]mmmm"))&amp;" "&amp;YEAR(A1522))</f>
        <v/>
      </c>
      <c r="G1522" s="8"/>
    </row>
    <row r="1523" spans="1:7">
      <c r="A1523" s="7"/>
      <c r="B1523" s="6" t="str">
        <f>IF(A1523="","",LOWER(TEXT(A1523,"[$-es-ES]mmmm"))&amp;" "&amp;YEAR(A1523))</f>
        <v/>
      </c>
      <c r="G1523" s="8"/>
    </row>
    <row r="1524" spans="1:7">
      <c r="A1524" s="7"/>
      <c r="B1524" s="6" t="str">
        <f>IF(A1524="","",LOWER(TEXT(A1524,"[$-es-ES]mmmm"))&amp;" "&amp;YEAR(A1524))</f>
        <v/>
      </c>
      <c r="G1524" s="8"/>
    </row>
    <row r="1525" spans="1:7">
      <c r="A1525" s="7"/>
      <c r="B1525" s="6" t="str">
        <f>IF(A1525="","",LOWER(TEXT(A1525,"[$-es-ES]mmmm"))&amp;" "&amp;YEAR(A1525))</f>
        <v/>
      </c>
      <c r="G1525" s="8"/>
    </row>
    <row r="1526" spans="1:7">
      <c r="A1526" s="7"/>
      <c r="B1526" s="6" t="str">
        <f>IF(A1526="","",LOWER(TEXT(A1526,"[$-es-ES]mmmm"))&amp;" "&amp;YEAR(A1526))</f>
        <v/>
      </c>
      <c r="G1526" s="8"/>
    </row>
    <row r="1527" spans="1:7">
      <c r="A1527" s="7"/>
      <c r="B1527" s="6" t="str">
        <f>IF(A1527="","",LOWER(TEXT(A1527,"[$-es-ES]mmmm"))&amp;" "&amp;YEAR(A1527))</f>
        <v/>
      </c>
      <c r="G1527" s="8"/>
    </row>
    <row r="1528" spans="1:7">
      <c r="A1528" s="7"/>
      <c r="B1528" s="6" t="str">
        <f>IF(A1528="","",LOWER(TEXT(A1528,"[$-es-ES]mmmm"))&amp;" "&amp;YEAR(A1528))</f>
        <v/>
      </c>
      <c r="G1528" s="8"/>
    </row>
    <row r="1529" spans="1:7">
      <c r="A1529" s="7"/>
      <c r="B1529" s="6" t="str">
        <f>IF(A1529="","",LOWER(TEXT(A1529,"[$-es-ES]mmmm"))&amp;" "&amp;YEAR(A1529))</f>
        <v/>
      </c>
      <c r="G1529" s="8"/>
    </row>
    <row r="1530" spans="1:7">
      <c r="A1530" s="7"/>
      <c r="B1530" s="6" t="str">
        <f>IF(A1530="","",LOWER(TEXT(A1530,"[$-es-ES]mmmm"))&amp;" "&amp;YEAR(A1530))</f>
        <v/>
      </c>
      <c r="G1530" s="8"/>
    </row>
    <row r="1531" spans="1:7">
      <c r="A1531" s="7"/>
      <c r="B1531" s="6" t="str">
        <f>IF(A1531="","",LOWER(TEXT(A1531,"[$-es-ES]mmmm"))&amp;" "&amp;YEAR(A1531))</f>
        <v/>
      </c>
      <c r="G1531" s="8"/>
    </row>
    <row r="1532" spans="1:7">
      <c r="A1532" s="7"/>
      <c r="B1532" s="6" t="str">
        <f>IF(A1532="","",LOWER(TEXT(A1532,"[$-es-ES]mmmm"))&amp;" "&amp;YEAR(A1532))</f>
        <v/>
      </c>
      <c r="G1532" s="8"/>
    </row>
    <row r="1533" spans="1:7">
      <c r="A1533" s="7"/>
      <c r="B1533" s="6" t="str">
        <f>IF(A1533="","",LOWER(TEXT(A1533,"[$-es-ES]mmmm"))&amp;" "&amp;YEAR(A1533))</f>
        <v/>
      </c>
      <c r="G1533" s="8"/>
    </row>
    <row r="1534" spans="1:7">
      <c r="A1534" s="7"/>
      <c r="B1534" s="6" t="str">
        <f>IF(A1534="","",LOWER(TEXT(A1534,"[$-es-ES]mmmm"))&amp;" "&amp;YEAR(A1534))</f>
        <v/>
      </c>
      <c r="G1534" s="8"/>
    </row>
    <row r="1535" spans="1:7">
      <c r="A1535" s="7"/>
      <c r="B1535" s="6" t="str">
        <f>IF(A1535="","",LOWER(TEXT(A1535,"[$-es-ES]mmmm"))&amp;" "&amp;YEAR(A1535))</f>
        <v/>
      </c>
      <c r="G1535" s="8"/>
    </row>
    <row r="1536" spans="1:7">
      <c r="A1536" s="7"/>
      <c r="B1536" s="6" t="str">
        <f>IF(A1536="","",LOWER(TEXT(A1536,"[$-es-ES]mmmm"))&amp;" "&amp;YEAR(A1536))</f>
        <v/>
      </c>
      <c r="G1536" s="8"/>
    </row>
    <row r="1537" spans="1:7">
      <c r="A1537" s="7"/>
      <c r="B1537" s="6" t="str">
        <f>IF(A1537="","",LOWER(TEXT(A1537,"[$-es-ES]mmmm"))&amp;" "&amp;YEAR(A1537))</f>
        <v/>
      </c>
      <c r="G1537" s="8"/>
    </row>
    <row r="1538" spans="1:7">
      <c r="A1538" s="7"/>
      <c r="B1538" s="6" t="str">
        <f>IF(A1538="","",LOWER(TEXT(A1538,"[$-es-ES]mmmm"))&amp;" "&amp;YEAR(A1538))</f>
        <v/>
      </c>
      <c r="G1538" s="8"/>
    </row>
    <row r="1539" spans="1:7">
      <c r="A1539" s="7"/>
      <c r="B1539" s="6" t="str">
        <f>IF(A1539="","",LOWER(TEXT(A1539,"[$-es-ES]mmmm"))&amp;" "&amp;YEAR(A1539))</f>
        <v/>
      </c>
      <c r="G1539" s="8"/>
    </row>
    <row r="1540" spans="1:7">
      <c r="A1540" s="7"/>
      <c r="B1540" s="6" t="str">
        <f>IF(A1540="","",LOWER(TEXT(A1540,"[$-es-ES]mmmm"))&amp;" "&amp;YEAR(A1540))</f>
        <v/>
      </c>
      <c r="G1540" s="8"/>
    </row>
    <row r="1541" spans="1:7">
      <c r="A1541" s="7"/>
      <c r="B1541" s="6" t="str">
        <f>IF(A1541="","",LOWER(TEXT(A1541,"[$-es-ES]mmmm"))&amp;" "&amp;YEAR(A1541))</f>
        <v/>
      </c>
      <c r="G1541" s="8"/>
    </row>
    <row r="1542" spans="1:7">
      <c r="A1542" s="7"/>
      <c r="B1542" s="6" t="str">
        <f>IF(A1542="","",LOWER(TEXT(A1542,"[$-es-ES]mmmm"))&amp;" "&amp;YEAR(A1542))</f>
        <v/>
      </c>
      <c r="G1542" s="8"/>
    </row>
    <row r="1543" spans="1:7">
      <c r="A1543" s="7"/>
      <c r="B1543" s="6" t="str">
        <f>IF(A1543="","",LOWER(TEXT(A1543,"[$-es-ES]mmmm"))&amp;" "&amp;YEAR(A1543))</f>
        <v/>
      </c>
      <c r="G1543" s="8"/>
    </row>
    <row r="1544" spans="1:7">
      <c r="A1544" s="7"/>
      <c r="B1544" s="6" t="str">
        <f>IF(A1544="","",LOWER(TEXT(A1544,"[$-es-ES]mmmm"))&amp;" "&amp;YEAR(A1544))</f>
        <v/>
      </c>
      <c r="G1544" s="8"/>
    </row>
    <row r="1545" spans="1:7">
      <c r="A1545" s="7"/>
      <c r="B1545" s="6" t="str">
        <f>IF(A1545="","",LOWER(TEXT(A1545,"[$-es-ES]mmmm"))&amp;" "&amp;YEAR(A1545))</f>
        <v/>
      </c>
      <c r="G1545" s="8"/>
    </row>
    <row r="1546" spans="1:7">
      <c r="A1546" s="7"/>
      <c r="B1546" s="6" t="str">
        <f>IF(A1546="","",LOWER(TEXT(A1546,"[$-es-ES]mmmm"))&amp;" "&amp;YEAR(A1546))</f>
        <v/>
      </c>
      <c r="G1546" s="8"/>
    </row>
    <row r="1547" spans="1:7">
      <c r="A1547" s="7"/>
      <c r="B1547" s="6" t="str">
        <f>IF(A1547="","",LOWER(TEXT(A1547,"[$-es-ES]mmmm"))&amp;" "&amp;YEAR(A1547))</f>
        <v/>
      </c>
      <c r="G1547" s="8"/>
    </row>
    <row r="1548" spans="1:7">
      <c r="A1548" s="7"/>
      <c r="B1548" s="6" t="str">
        <f>IF(A1548="","",LOWER(TEXT(A1548,"[$-es-ES]mmmm"))&amp;" "&amp;YEAR(A1548))</f>
        <v/>
      </c>
      <c r="G1548" s="8"/>
    </row>
    <row r="1549" spans="1:7">
      <c r="A1549" s="7"/>
      <c r="B1549" s="6" t="str">
        <f>IF(A1549="","",LOWER(TEXT(A1549,"[$-es-ES]mmmm"))&amp;" "&amp;YEAR(A1549))</f>
        <v/>
      </c>
      <c r="G1549" s="8"/>
    </row>
    <row r="1550" spans="1:7">
      <c r="A1550" s="7"/>
      <c r="B1550" s="6" t="str">
        <f>IF(A1550="","",LOWER(TEXT(A1550,"[$-es-ES]mmmm"))&amp;" "&amp;YEAR(A1550))</f>
        <v/>
      </c>
      <c r="G1550" s="8"/>
    </row>
    <row r="1551" spans="1:7">
      <c r="A1551" s="7"/>
      <c r="B1551" s="6" t="str">
        <f>IF(A1551="","",LOWER(TEXT(A1551,"[$-es-ES]mmmm"))&amp;" "&amp;YEAR(A1551))</f>
        <v/>
      </c>
      <c r="G1551" s="8"/>
    </row>
    <row r="1552" spans="1:7">
      <c r="A1552" s="7"/>
      <c r="B1552" s="6" t="str">
        <f>IF(A1552="","",LOWER(TEXT(A1552,"[$-es-ES]mmmm"))&amp;" "&amp;YEAR(A1552))</f>
        <v/>
      </c>
      <c r="G1552" s="8"/>
    </row>
    <row r="1553" spans="1:7">
      <c r="A1553" s="7"/>
      <c r="B1553" s="6" t="str">
        <f>IF(A1553="","",LOWER(TEXT(A1553,"[$-es-ES]mmmm"))&amp;" "&amp;YEAR(A1553))</f>
        <v/>
      </c>
      <c r="G1553" s="8"/>
    </row>
    <row r="1554" spans="1:7">
      <c r="A1554" s="7"/>
      <c r="B1554" s="6" t="str">
        <f>IF(A1554="","",LOWER(TEXT(A1554,"[$-es-ES]mmmm"))&amp;" "&amp;YEAR(A1554))</f>
        <v/>
      </c>
      <c r="G1554" s="8"/>
    </row>
    <row r="1555" spans="1:7">
      <c r="A1555" s="7"/>
      <c r="B1555" s="6" t="str">
        <f>IF(A1555="","",LOWER(TEXT(A1555,"[$-es-ES]mmmm"))&amp;" "&amp;YEAR(A1555))</f>
        <v/>
      </c>
      <c r="G1555" s="8"/>
    </row>
    <row r="1556" spans="1:7">
      <c r="A1556" s="7"/>
      <c r="B1556" s="6" t="str">
        <f>IF(A1556="","",LOWER(TEXT(A1556,"[$-es-ES]mmmm"))&amp;" "&amp;YEAR(A1556))</f>
        <v/>
      </c>
      <c r="G1556" s="8"/>
    </row>
    <row r="1557" spans="1:7">
      <c r="A1557" s="7"/>
      <c r="B1557" s="6" t="str">
        <f>IF(A1557="","",LOWER(TEXT(A1557,"[$-es-ES]mmmm"))&amp;" "&amp;YEAR(A1557))</f>
        <v/>
      </c>
      <c r="G1557" s="8"/>
    </row>
    <row r="1558" spans="1:7">
      <c r="A1558" s="7"/>
      <c r="B1558" s="6" t="str">
        <f>IF(A1558="","",LOWER(TEXT(A1558,"[$-es-ES]mmmm"))&amp;" "&amp;YEAR(A1558))</f>
        <v/>
      </c>
      <c r="G1558" s="8"/>
    </row>
    <row r="1559" spans="1:7">
      <c r="A1559" s="7"/>
      <c r="B1559" s="6" t="str">
        <f>IF(A1559="","",LOWER(TEXT(A1559,"[$-es-ES]mmmm"))&amp;" "&amp;YEAR(A1559))</f>
        <v/>
      </c>
      <c r="G1559" s="8"/>
    </row>
    <row r="1560" spans="1:7">
      <c r="A1560" s="7"/>
      <c r="B1560" s="6" t="str">
        <f>IF(A1560="","",LOWER(TEXT(A1560,"[$-es-ES]mmmm"))&amp;" "&amp;YEAR(A1560))</f>
        <v/>
      </c>
      <c r="G1560" s="8"/>
    </row>
    <row r="1561" spans="1:7">
      <c r="A1561" s="7"/>
      <c r="B1561" s="6" t="str">
        <f>IF(A1561="","",LOWER(TEXT(A1561,"[$-es-ES]mmmm"))&amp;" "&amp;YEAR(A1561))</f>
        <v/>
      </c>
      <c r="G1561" s="8"/>
    </row>
    <row r="1562" spans="1:7">
      <c r="A1562" s="7"/>
      <c r="B1562" s="6" t="str">
        <f>IF(A1562="","",LOWER(TEXT(A1562,"[$-es-ES]mmmm"))&amp;" "&amp;YEAR(A1562))</f>
        <v/>
      </c>
      <c r="G1562" s="8"/>
    </row>
    <row r="1563" spans="1:7">
      <c r="A1563" s="7"/>
      <c r="B1563" s="6" t="str">
        <f>IF(A1563="","",LOWER(TEXT(A1563,"[$-es-ES]mmmm"))&amp;" "&amp;YEAR(A1563))</f>
        <v/>
      </c>
      <c r="G1563" s="8"/>
    </row>
    <row r="1564" spans="1:7">
      <c r="A1564" s="7"/>
      <c r="B1564" s="6" t="str">
        <f>IF(A1564="","",LOWER(TEXT(A1564,"[$-es-ES]mmmm"))&amp;" "&amp;YEAR(A1564))</f>
        <v/>
      </c>
      <c r="G1564" s="8"/>
    </row>
    <row r="1565" spans="1:7">
      <c r="A1565" s="7"/>
      <c r="B1565" s="6" t="str">
        <f>IF(A1565="","",LOWER(TEXT(A1565,"[$-es-ES]mmmm"))&amp;" "&amp;YEAR(A1565))</f>
        <v/>
      </c>
      <c r="G1565" s="8"/>
    </row>
    <row r="1566" spans="1:7">
      <c r="A1566" s="7"/>
      <c r="B1566" s="6" t="str">
        <f>IF(A1566="","",LOWER(TEXT(A1566,"[$-es-ES]mmmm"))&amp;" "&amp;YEAR(A1566))</f>
        <v/>
      </c>
      <c r="G1566" s="8"/>
    </row>
    <row r="1567" spans="1:7">
      <c r="A1567" s="7"/>
      <c r="B1567" s="6" t="str">
        <f>IF(A1567="","",LOWER(TEXT(A1567,"[$-es-ES]mmmm"))&amp;" "&amp;YEAR(A1567))</f>
        <v/>
      </c>
      <c r="G1567" s="8"/>
    </row>
    <row r="1568" spans="1:7">
      <c r="A1568" s="7"/>
      <c r="B1568" s="6" t="str">
        <f>IF(A1568="","",LOWER(TEXT(A1568,"[$-es-ES]mmmm"))&amp;" "&amp;YEAR(A1568))</f>
        <v/>
      </c>
      <c r="G1568" s="8"/>
    </row>
    <row r="1569" spans="1:7">
      <c r="A1569" s="7"/>
      <c r="B1569" s="6" t="str">
        <f>IF(A1569="","",LOWER(TEXT(A1569,"[$-es-ES]mmmm"))&amp;" "&amp;YEAR(A1569))</f>
        <v/>
      </c>
      <c r="G1569" s="8"/>
    </row>
    <row r="1570" spans="1:7">
      <c r="A1570" s="7"/>
      <c r="B1570" s="6" t="str">
        <f>IF(A1570="","",LOWER(TEXT(A1570,"[$-es-ES]mmmm"))&amp;" "&amp;YEAR(A1570))</f>
        <v/>
      </c>
      <c r="G1570" s="8"/>
    </row>
    <row r="1571" spans="1:7">
      <c r="A1571" s="7"/>
      <c r="B1571" s="6" t="str">
        <f>IF(A1571="","",LOWER(TEXT(A1571,"[$-es-ES]mmmm"))&amp;" "&amp;YEAR(A1571))</f>
        <v/>
      </c>
      <c r="G1571" s="8"/>
    </row>
    <row r="1572" spans="1:7">
      <c r="A1572" s="7"/>
      <c r="B1572" s="6" t="str">
        <f>IF(A1572="","",LOWER(TEXT(A1572,"[$-es-ES]mmmm"))&amp;" "&amp;YEAR(A1572))</f>
        <v/>
      </c>
      <c r="G1572" s="8"/>
    </row>
    <row r="1573" spans="1:7">
      <c r="A1573" s="7"/>
      <c r="B1573" s="6" t="str">
        <f>IF(A1573="","",LOWER(TEXT(A1573,"[$-es-ES]mmmm"))&amp;" "&amp;YEAR(A1573))</f>
        <v/>
      </c>
      <c r="G1573" s="8"/>
    </row>
    <row r="1574" spans="1:7">
      <c r="A1574" s="7"/>
      <c r="B1574" s="6" t="str">
        <f>IF(A1574="","",LOWER(TEXT(A1574,"[$-es-ES]mmmm"))&amp;" "&amp;YEAR(A1574))</f>
        <v/>
      </c>
      <c r="G1574" s="8"/>
    </row>
    <row r="1575" spans="1:7">
      <c r="A1575" s="7"/>
      <c r="B1575" s="6" t="str">
        <f>IF(A1575="","",LOWER(TEXT(A1575,"[$-es-ES]mmmm"))&amp;" "&amp;YEAR(A1575))</f>
        <v/>
      </c>
      <c r="G1575" s="8"/>
    </row>
    <row r="1576" spans="1:7">
      <c r="A1576" s="7"/>
      <c r="B1576" s="6" t="str">
        <f>IF(A1576="","",LOWER(TEXT(A1576,"[$-es-ES]mmmm"))&amp;" "&amp;YEAR(A1576))</f>
        <v/>
      </c>
      <c r="G1576" s="8"/>
    </row>
    <row r="1577" spans="1:7">
      <c r="A1577" s="7"/>
      <c r="B1577" s="6" t="str">
        <f>IF(A1577="","",LOWER(TEXT(A1577,"[$-es-ES]mmmm"))&amp;" "&amp;YEAR(A1577))</f>
        <v/>
      </c>
      <c r="G1577" s="8"/>
    </row>
    <row r="1578" spans="1:7">
      <c r="A1578" s="7"/>
      <c r="B1578" s="6" t="str">
        <f>IF(A1578="","",LOWER(TEXT(A1578,"[$-es-ES]mmmm"))&amp;" "&amp;YEAR(A1578))</f>
        <v/>
      </c>
      <c r="G1578" s="8"/>
    </row>
    <row r="1579" spans="1:7">
      <c r="A1579" s="7"/>
      <c r="B1579" s="6" t="str">
        <f>IF(A1579="","",LOWER(TEXT(A1579,"[$-es-ES]mmmm"))&amp;" "&amp;YEAR(A1579))</f>
        <v/>
      </c>
      <c r="G1579" s="8"/>
    </row>
    <row r="1580" spans="1:7">
      <c r="A1580" s="7"/>
      <c r="B1580" s="6" t="str">
        <f>IF(A1580="","",LOWER(TEXT(A1580,"[$-es-ES]mmmm"))&amp;" "&amp;YEAR(A1580))</f>
        <v/>
      </c>
      <c r="G1580" s="8"/>
    </row>
    <row r="1581" spans="1:7">
      <c r="A1581" s="7"/>
      <c r="B1581" s="6" t="str">
        <f>IF(A1581="","",LOWER(TEXT(A1581,"[$-es-ES]mmmm"))&amp;" "&amp;YEAR(A1581))</f>
        <v/>
      </c>
      <c r="G1581" s="8"/>
    </row>
    <row r="1582" spans="1:7">
      <c r="A1582" s="7"/>
      <c r="B1582" s="6" t="str">
        <f>IF(A1582="","",LOWER(TEXT(A1582,"[$-es-ES]mmmm"))&amp;" "&amp;YEAR(A1582))</f>
        <v/>
      </c>
      <c r="G1582" s="8"/>
    </row>
    <row r="1583" spans="1:7">
      <c r="A1583" s="7"/>
      <c r="B1583" s="6" t="str">
        <f>IF(A1583="","",LOWER(TEXT(A1583,"[$-es-ES]mmmm"))&amp;" "&amp;YEAR(A1583))</f>
        <v/>
      </c>
      <c r="G1583" s="8"/>
    </row>
    <row r="1584" spans="1:7">
      <c r="A1584" s="7"/>
      <c r="B1584" s="6" t="str">
        <f>IF(A1584="","",LOWER(TEXT(A1584,"[$-es-ES]mmmm"))&amp;" "&amp;YEAR(A1584))</f>
        <v/>
      </c>
      <c r="G1584" s="8"/>
    </row>
    <row r="1585" spans="1:7">
      <c r="A1585" s="7"/>
      <c r="B1585" s="6" t="str">
        <f>IF(A1585="","",LOWER(TEXT(A1585,"[$-es-ES]mmmm"))&amp;" "&amp;YEAR(A1585))</f>
        <v/>
      </c>
      <c r="G1585" s="8"/>
    </row>
    <row r="1586" spans="1:7">
      <c r="A1586" s="7"/>
      <c r="B1586" s="6" t="str">
        <f>IF(A1586="","",LOWER(TEXT(A1586,"[$-es-ES]mmmm"))&amp;" "&amp;YEAR(A1586))</f>
        <v/>
      </c>
      <c r="G1586" s="8"/>
    </row>
    <row r="1587" spans="1:7">
      <c r="A1587" s="7"/>
      <c r="B1587" s="6" t="str">
        <f>IF(A1587="","",LOWER(TEXT(A1587,"[$-es-ES]mmmm"))&amp;" "&amp;YEAR(A1587))</f>
        <v/>
      </c>
      <c r="G1587" s="8"/>
    </row>
    <row r="1588" spans="1:7">
      <c r="A1588" s="7"/>
      <c r="B1588" s="6" t="str">
        <f>IF(A1588="","",LOWER(TEXT(A1588,"[$-es-ES]mmmm"))&amp;" "&amp;YEAR(A1588))</f>
        <v/>
      </c>
      <c r="G1588" s="8"/>
    </row>
    <row r="1589" spans="1:7">
      <c r="A1589" s="7"/>
      <c r="B1589" s="6" t="str">
        <f>IF(A1589="","",LOWER(TEXT(A1589,"[$-es-ES]mmmm"))&amp;" "&amp;YEAR(A1589))</f>
        <v/>
      </c>
      <c r="G1589" s="8"/>
    </row>
    <row r="1590" spans="1:7">
      <c r="A1590" s="7"/>
      <c r="B1590" s="6" t="str">
        <f>IF(A1590="","",LOWER(TEXT(A1590,"[$-es-ES]mmmm"))&amp;" "&amp;YEAR(A1590))</f>
        <v/>
      </c>
      <c r="G1590" s="8"/>
    </row>
    <row r="1591" spans="1:7">
      <c r="A1591" s="7"/>
      <c r="B1591" s="6" t="str">
        <f>IF(A1591="","",LOWER(TEXT(A1591,"[$-es-ES]mmmm"))&amp;" "&amp;YEAR(A1591))</f>
        <v/>
      </c>
      <c r="G1591" s="8"/>
    </row>
    <row r="1592" spans="1:7">
      <c r="A1592" s="7"/>
      <c r="B1592" s="6" t="str">
        <f>IF(A1592="","",LOWER(TEXT(A1592,"[$-es-ES]mmmm"))&amp;" "&amp;YEAR(A1592))</f>
        <v/>
      </c>
      <c r="G1592" s="8"/>
    </row>
    <row r="1593" spans="1:7">
      <c r="A1593" s="7"/>
      <c r="B1593" s="6" t="str">
        <f>IF(A1593="","",LOWER(TEXT(A1593,"[$-es-ES]mmmm"))&amp;" "&amp;YEAR(A1593))</f>
        <v/>
      </c>
      <c r="G1593" s="8"/>
    </row>
    <row r="1594" spans="1:7">
      <c r="A1594" s="7"/>
      <c r="B1594" s="6" t="str">
        <f>IF(A1594="","",LOWER(TEXT(A1594,"[$-es-ES]mmmm"))&amp;" "&amp;YEAR(A1594))</f>
        <v/>
      </c>
      <c r="G1594" s="8"/>
    </row>
    <row r="1595" spans="1:7">
      <c r="A1595" s="7"/>
      <c r="B1595" s="6" t="str">
        <f>IF(A1595="","",LOWER(TEXT(A1595,"[$-es-ES]mmmm"))&amp;" "&amp;YEAR(A1595))</f>
        <v/>
      </c>
      <c r="G1595" s="8"/>
    </row>
    <row r="1596" spans="1:7">
      <c r="A1596" s="7"/>
      <c r="B1596" s="6" t="str">
        <f>IF(A1596="","",LOWER(TEXT(A1596,"[$-es-ES]mmmm"))&amp;" "&amp;YEAR(A1596))</f>
        <v/>
      </c>
      <c r="G1596" s="8"/>
    </row>
    <row r="1597" spans="1:7">
      <c r="A1597" s="7"/>
      <c r="B1597" s="6" t="str">
        <f>IF(A1597="","",LOWER(TEXT(A1597,"[$-es-ES]mmmm"))&amp;" "&amp;YEAR(A1597))</f>
        <v/>
      </c>
      <c r="G1597" s="8"/>
    </row>
    <row r="1598" spans="1:7">
      <c r="A1598" s="7"/>
      <c r="B1598" s="6" t="str">
        <f>IF(A1598="","",LOWER(TEXT(A1598,"[$-es-ES]mmmm"))&amp;" "&amp;YEAR(A1598))</f>
        <v/>
      </c>
      <c r="G1598" s="8"/>
    </row>
    <row r="1599" spans="1:7">
      <c r="A1599" s="7"/>
      <c r="B1599" s="6" t="str">
        <f>IF(A1599="","",LOWER(TEXT(A1599,"[$-es-ES]mmmm"))&amp;" "&amp;YEAR(A1599))</f>
        <v/>
      </c>
      <c r="G1599" s="8"/>
    </row>
    <row r="1600" spans="1:7">
      <c r="A1600" s="7"/>
      <c r="B1600" s="6" t="str">
        <f>IF(A1600="","",LOWER(TEXT(A1600,"[$-es-ES]mmmm"))&amp;" "&amp;YEAR(A1600))</f>
        <v/>
      </c>
      <c r="G1600" s="8"/>
    </row>
    <row r="1601" spans="1:7">
      <c r="A1601" s="7"/>
      <c r="B1601" s="6" t="str">
        <f>IF(A1601="","",LOWER(TEXT(A1601,"[$-es-ES]mmmm"))&amp;" "&amp;YEAR(A1601))</f>
        <v/>
      </c>
      <c r="G1601" s="8"/>
    </row>
    <row r="1602" spans="1:7">
      <c r="A1602" s="7"/>
      <c r="B1602" s="6" t="str">
        <f>IF(A1602="","",LOWER(TEXT(A1602,"[$-es-ES]mmmm"))&amp;" "&amp;YEAR(A1602))</f>
        <v/>
      </c>
      <c r="G1602" s="8"/>
    </row>
    <row r="1603" spans="1:7">
      <c r="A1603" s="7"/>
      <c r="B1603" s="6" t="str">
        <f>IF(A1603="","",LOWER(TEXT(A1603,"[$-es-ES]mmmm"))&amp;" "&amp;YEAR(A1603))</f>
        <v/>
      </c>
      <c r="G1603" s="8"/>
    </row>
    <row r="1604" spans="1:7">
      <c r="A1604" s="7"/>
      <c r="B1604" s="6" t="str">
        <f>IF(A1604="","",LOWER(TEXT(A1604,"[$-es-ES]mmmm"))&amp;" "&amp;YEAR(A1604))</f>
        <v/>
      </c>
      <c r="G1604" s="8"/>
    </row>
    <row r="1605" spans="1:7">
      <c r="A1605" s="7"/>
      <c r="B1605" s="6" t="str">
        <f>IF(A1605="","",LOWER(TEXT(A1605,"[$-es-ES]mmmm"))&amp;" "&amp;YEAR(A1605))</f>
        <v/>
      </c>
      <c r="G1605" s="8"/>
    </row>
    <row r="1606" spans="1:7">
      <c r="A1606" s="7"/>
      <c r="B1606" s="6" t="str">
        <f>IF(A1606="","",LOWER(TEXT(A1606,"[$-es-ES]mmmm"))&amp;" "&amp;YEAR(A1606))</f>
        <v/>
      </c>
      <c r="G1606" s="8"/>
    </row>
    <row r="1607" spans="1:7">
      <c r="A1607" s="7"/>
      <c r="B1607" s="6" t="str">
        <f>IF(A1607="","",LOWER(TEXT(A1607,"[$-es-ES]mmmm"))&amp;" "&amp;YEAR(A1607))</f>
        <v/>
      </c>
      <c r="G1607" s="8"/>
    </row>
    <row r="1608" spans="1:7">
      <c r="A1608" s="7"/>
      <c r="B1608" s="6" t="str">
        <f>IF(A1608="","",LOWER(TEXT(A1608,"[$-es-ES]mmmm"))&amp;" "&amp;YEAR(A1608))</f>
        <v/>
      </c>
      <c r="G1608" s="8"/>
    </row>
    <row r="1609" spans="1:7">
      <c r="A1609" s="7"/>
      <c r="B1609" s="6" t="str">
        <f>IF(A1609="","",LOWER(TEXT(A1609,"[$-es-ES]mmmm"))&amp;" "&amp;YEAR(A1609))</f>
        <v/>
      </c>
      <c r="G1609" s="8"/>
    </row>
    <row r="1610" spans="1:7">
      <c r="A1610" s="7"/>
      <c r="B1610" s="6" t="str">
        <f>IF(A1610="","",LOWER(TEXT(A1610,"[$-es-ES]mmmm"))&amp;" "&amp;YEAR(A1610))</f>
        <v/>
      </c>
      <c r="G1610" s="8"/>
    </row>
    <row r="1611" spans="1:7">
      <c r="A1611" s="7"/>
      <c r="B1611" s="6" t="str">
        <f>IF(A1611="","",LOWER(TEXT(A1611,"[$-es-ES]mmmm"))&amp;" "&amp;YEAR(A1611))</f>
        <v/>
      </c>
      <c r="G1611" s="8"/>
    </row>
    <row r="1612" spans="1:7">
      <c r="A1612" s="7"/>
      <c r="B1612" s="6" t="str">
        <f>IF(A1612="","",LOWER(TEXT(A1612,"[$-es-ES]mmmm"))&amp;" "&amp;YEAR(A1612))</f>
        <v/>
      </c>
      <c r="G1612" s="8"/>
    </row>
    <row r="1613" spans="1:7">
      <c r="A1613" s="7"/>
      <c r="B1613" s="6" t="str">
        <f>IF(A1613="","",LOWER(TEXT(A1613,"[$-es-ES]mmmm"))&amp;" "&amp;YEAR(A1613))</f>
        <v/>
      </c>
      <c r="G1613" s="8"/>
    </row>
    <row r="1614" spans="1:7">
      <c r="A1614" s="7"/>
      <c r="B1614" s="6" t="str">
        <f>IF(A1614="","",LOWER(TEXT(A1614,"[$-es-ES]mmmm"))&amp;" "&amp;YEAR(A1614))</f>
        <v/>
      </c>
      <c r="G1614" s="8"/>
    </row>
    <row r="1615" spans="1:7">
      <c r="A1615" s="7"/>
      <c r="B1615" s="6" t="str">
        <f>IF(A1615="","",LOWER(TEXT(A1615,"[$-es-ES]mmmm"))&amp;" "&amp;YEAR(A1615))</f>
        <v/>
      </c>
      <c r="G1615" s="8"/>
    </row>
    <row r="1616" spans="1:7">
      <c r="A1616" s="7"/>
      <c r="B1616" s="6" t="str">
        <f>IF(A1616="","",LOWER(TEXT(A1616,"[$-es-ES]mmmm"))&amp;" "&amp;YEAR(A1616))</f>
        <v/>
      </c>
      <c r="G1616" s="8"/>
    </row>
    <row r="1617" spans="1:7">
      <c r="A1617" s="7"/>
      <c r="B1617" s="6" t="str">
        <f>IF(A1617="","",LOWER(TEXT(A1617,"[$-es-ES]mmmm"))&amp;" "&amp;YEAR(A1617))</f>
        <v/>
      </c>
      <c r="G1617" s="8"/>
    </row>
    <row r="1618" spans="1:7">
      <c r="A1618" s="7"/>
      <c r="B1618" s="6" t="str">
        <f>IF(A1618="","",LOWER(TEXT(A1618,"[$-es-ES]mmmm"))&amp;" "&amp;YEAR(A1618))</f>
        <v/>
      </c>
      <c r="G1618" s="8"/>
    </row>
    <row r="1619" spans="1:7">
      <c r="A1619" s="7"/>
      <c r="B1619" s="6" t="str">
        <f>IF(A1619="","",LOWER(TEXT(A1619,"[$-es-ES]mmmm"))&amp;" "&amp;YEAR(A1619))</f>
        <v/>
      </c>
      <c r="G1619" s="8"/>
    </row>
    <row r="1620" spans="1:7">
      <c r="A1620" s="7"/>
      <c r="B1620" s="6" t="str">
        <f>IF(A1620="","",LOWER(TEXT(A1620,"[$-es-ES]mmmm"))&amp;" "&amp;YEAR(A1620))</f>
        <v/>
      </c>
      <c r="G1620" s="8"/>
    </row>
    <row r="1621" spans="1:7">
      <c r="A1621" s="7"/>
      <c r="B1621" s="6" t="str">
        <f>IF(A1621="","",LOWER(TEXT(A1621,"[$-es-ES]mmmm"))&amp;" "&amp;YEAR(A1621))</f>
        <v/>
      </c>
      <c r="G1621" s="8"/>
    </row>
    <row r="1622" spans="1:7">
      <c r="A1622" s="7"/>
      <c r="B1622" s="6" t="str">
        <f>IF(A1622="","",LOWER(TEXT(A1622,"[$-es-ES]mmmm"))&amp;" "&amp;YEAR(A1622))</f>
        <v/>
      </c>
      <c r="G1622" s="8"/>
    </row>
    <row r="1623" spans="1:7">
      <c r="A1623" s="7"/>
      <c r="B1623" s="6" t="str">
        <f>IF(A1623="","",LOWER(TEXT(A1623,"[$-es-ES]mmmm"))&amp;" "&amp;YEAR(A1623))</f>
        <v/>
      </c>
      <c r="G1623" s="8"/>
    </row>
    <row r="1624" spans="1:7">
      <c r="A1624" s="7"/>
      <c r="B1624" s="6" t="str">
        <f>IF(A1624="","",LOWER(TEXT(A1624,"[$-es-ES]mmmm"))&amp;" "&amp;YEAR(A1624))</f>
        <v/>
      </c>
      <c r="G1624" s="8"/>
    </row>
    <row r="1625" spans="1:7">
      <c r="A1625" s="7"/>
      <c r="B1625" s="6" t="str">
        <f>IF(A1625="","",LOWER(TEXT(A1625,"[$-es-ES]mmmm"))&amp;" "&amp;YEAR(A1625))</f>
        <v/>
      </c>
      <c r="G1625" s="8"/>
    </row>
    <row r="1626" spans="1:7">
      <c r="A1626" s="7"/>
      <c r="B1626" s="6" t="str">
        <f>IF(A1626="","",LOWER(TEXT(A1626,"[$-es-ES]mmmm"))&amp;" "&amp;YEAR(A1626))</f>
        <v/>
      </c>
      <c r="G1626" s="8"/>
    </row>
    <row r="1627" spans="1:7">
      <c r="A1627" s="7"/>
      <c r="B1627" s="6" t="str">
        <f>IF(A1627="","",LOWER(TEXT(A1627,"[$-es-ES]mmmm"))&amp;" "&amp;YEAR(A1627))</f>
        <v/>
      </c>
      <c r="G1627" s="8"/>
    </row>
    <row r="1628" spans="1:7">
      <c r="A1628" s="7"/>
      <c r="B1628" s="6" t="str">
        <f>IF(A1628="","",LOWER(TEXT(A1628,"[$-es-ES]mmmm"))&amp;" "&amp;YEAR(A1628))</f>
        <v/>
      </c>
      <c r="G1628" s="8"/>
    </row>
    <row r="1629" spans="1:7">
      <c r="A1629" s="7"/>
      <c r="B1629" s="6" t="str">
        <f>IF(A1629="","",LOWER(TEXT(A1629,"[$-es-ES]mmmm"))&amp;" "&amp;YEAR(A1629))</f>
        <v/>
      </c>
      <c r="G1629" s="8"/>
    </row>
    <row r="1630" spans="1:7">
      <c r="A1630" s="7"/>
      <c r="B1630" s="6" t="str">
        <f>IF(A1630="","",LOWER(TEXT(A1630,"[$-es-ES]mmmm"))&amp;" "&amp;YEAR(A1630))</f>
        <v/>
      </c>
      <c r="G1630" s="8"/>
    </row>
    <row r="1631" spans="1:7">
      <c r="A1631" s="7"/>
      <c r="B1631" s="6" t="str">
        <f>IF(A1631="","",LOWER(TEXT(A1631,"[$-es-ES]mmmm"))&amp;" "&amp;YEAR(A1631))</f>
        <v/>
      </c>
      <c r="G1631" s="8"/>
    </row>
    <row r="1632" spans="1:7">
      <c r="A1632" s="7"/>
      <c r="B1632" s="6" t="str">
        <f>IF(A1632="","",LOWER(TEXT(A1632,"[$-es-ES]mmmm"))&amp;" "&amp;YEAR(A1632))</f>
        <v/>
      </c>
      <c r="G1632" s="8"/>
    </row>
    <row r="1633" spans="1:7">
      <c r="A1633" s="7"/>
      <c r="B1633" s="6" t="str">
        <f>IF(A1633="","",LOWER(TEXT(A1633,"[$-es-ES]mmmm"))&amp;" "&amp;YEAR(A1633))</f>
        <v/>
      </c>
      <c r="G1633" s="8"/>
    </row>
    <row r="1634" spans="1:7">
      <c r="A1634" s="7"/>
      <c r="B1634" s="6" t="str">
        <f>IF(A1634="","",LOWER(TEXT(A1634,"[$-es-ES]mmmm"))&amp;" "&amp;YEAR(A1634))</f>
        <v/>
      </c>
      <c r="G1634" s="8"/>
    </row>
    <row r="1635" spans="1:7">
      <c r="A1635" s="7"/>
      <c r="B1635" s="6" t="str">
        <f>IF(A1635="","",LOWER(TEXT(A1635,"[$-es-ES]mmmm"))&amp;" "&amp;YEAR(A1635))</f>
        <v/>
      </c>
      <c r="G1635" s="8"/>
    </row>
    <row r="1636" spans="1:7">
      <c r="A1636" s="7"/>
      <c r="B1636" s="6" t="str">
        <f>IF(A1636="","",LOWER(TEXT(A1636,"[$-es-ES]mmmm"))&amp;" "&amp;YEAR(A1636))</f>
        <v/>
      </c>
      <c r="G1636" s="8"/>
    </row>
    <row r="1637" spans="1:7">
      <c r="A1637" s="7"/>
      <c r="B1637" s="6" t="str">
        <f>IF(A1637="","",LOWER(TEXT(A1637,"[$-es-ES]mmmm"))&amp;" "&amp;YEAR(A1637))</f>
        <v/>
      </c>
      <c r="G1637" s="8"/>
    </row>
    <row r="1638" spans="1:7">
      <c r="A1638" s="7"/>
      <c r="B1638" s="6" t="str">
        <f>IF(A1638="","",LOWER(TEXT(A1638,"[$-es-ES]mmmm"))&amp;" "&amp;YEAR(A1638))</f>
        <v/>
      </c>
      <c r="G1638" s="8"/>
    </row>
    <row r="1639" spans="1:7">
      <c r="A1639" s="7"/>
      <c r="B1639" s="6" t="str">
        <f>IF(A1639="","",LOWER(TEXT(A1639,"[$-es-ES]mmmm"))&amp;" "&amp;YEAR(A1639))</f>
        <v/>
      </c>
      <c r="G1639" s="8"/>
    </row>
    <row r="1640" spans="1:7">
      <c r="A1640" s="7"/>
      <c r="B1640" s="6" t="str">
        <f>IF(A1640="","",LOWER(TEXT(A1640,"[$-es-ES]mmmm"))&amp;" "&amp;YEAR(A1640))</f>
        <v/>
      </c>
      <c r="G1640" s="8"/>
    </row>
    <row r="1641" spans="1:7">
      <c r="A1641" s="7"/>
      <c r="B1641" s="6" t="str">
        <f>IF(A1641="","",LOWER(TEXT(A1641,"[$-es-ES]mmmm"))&amp;" "&amp;YEAR(A1641))</f>
        <v/>
      </c>
      <c r="G1641" s="8"/>
    </row>
    <row r="1642" spans="1:7">
      <c r="A1642" s="7"/>
      <c r="B1642" s="6" t="str">
        <f>IF(A1642="","",LOWER(TEXT(A1642,"[$-es-ES]mmmm"))&amp;" "&amp;YEAR(A1642))</f>
        <v/>
      </c>
      <c r="G1642" s="8"/>
    </row>
    <row r="1643" spans="1:7">
      <c r="A1643" s="7"/>
      <c r="B1643" s="6" t="str">
        <f>IF(A1643="","",LOWER(TEXT(A1643,"[$-es-ES]mmmm"))&amp;" "&amp;YEAR(A1643))</f>
        <v/>
      </c>
      <c r="G1643" s="8"/>
    </row>
    <row r="1644" spans="1:7">
      <c r="A1644" s="7"/>
      <c r="B1644" s="6" t="str">
        <f>IF(A1644="","",LOWER(TEXT(A1644,"[$-es-ES]mmmm"))&amp;" "&amp;YEAR(A1644))</f>
        <v/>
      </c>
      <c r="G1644" s="8"/>
    </row>
    <row r="1645" spans="1:7">
      <c r="A1645" s="7"/>
      <c r="B1645" s="6" t="str">
        <f>IF(A1645="","",LOWER(TEXT(A1645,"[$-es-ES]mmmm"))&amp;" "&amp;YEAR(A1645))</f>
        <v/>
      </c>
      <c r="G1645" s="8"/>
    </row>
    <row r="1646" spans="1:7">
      <c r="A1646" s="7"/>
      <c r="B1646" s="6" t="str">
        <f>IF(A1646="","",LOWER(TEXT(A1646,"[$-es-ES]mmmm"))&amp;" "&amp;YEAR(A1646))</f>
        <v/>
      </c>
      <c r="G1646" s="8"/>
    </row>
    <row r="1647" spans="1:7">
      <c r="A1647" s="7"/>
      <c r="B1647" s="6" t="str">
        <f>IF(A1647="","",LOWER(TEXT(A1647,"[$-es-ES]mmmm"))&amp;" "&amp;YEAR(A1647))</f>
        <v/>
      </c>
      <c r="G1647" s="8"/>
    </row>
    <row r="1648" spans="1:7">
      <c r="A1648" s="7"/>
      <c r="B1648" s="6" t="str">
        <f>IF(A1648="","",LOWER(TEXT(A1648,"[$-es-ES]mmmm"))&amp;" "&amp;YEAR(A1648))</f>
        <v/>
      </c>
      <c r="G1648" s="8"/>
    </row>
    <row r="1649" spans="1:7">
      <c r="A1649" s="7"/>
      <c r="B1649" s="6" t="str">
        <f>IF(A1649="","",LOWER(TEXT(A1649,"[$-es-ES]mmmm"))&amp;" "&amp;YEAR(A1649))</f>
        <v/>
      </c>
      <c r="G1649" s="8"/>
    </row>
    <row r="1650" spans="1:7">
      <c r="A1650" s="7"/>
      <c r="B1650" s="6" t="str">
        <f>IF(A1650="","",LOWER(TEXT(A1650,"[$-es-ES]mmmm"))&amp;" "&amp;YEAR(A1650))</f>
        <v/>
      </c>
      <c r="G1650" s="8"/>
    </row>
    <row r="1651" spans="1:7">
      <c r="A1651" s="7"/>
      <c r="B1651" s="6" t="str">
        <f>IF(A1651="","",LOWER(TEXT(A1651,"[$-es-ES]mmmm"))&amp;" "&amp;YEAR(A1651))</f>
        <v/>
      </c>
      <c r="G1651" s="8"/>
    </row>
    <row r="1652" spans="1:7">
      <c r="A1652" s="7"/>
      <c r="B1652" s="6" t="str">
        <f>IF(A1652="","",LOWER(TEXT(A1652,"[$-es-ES]mmmm"))&amp;" "&amp;YEAR(A1652))</f>
        <v/>
      </c>
      <c r="G1652" s="8"/>
    </row>
    <row r="1653" spans="1:7">
      <c r="A1653" s="7"/>
      <c r="B1653" s="6" t="str">
        <f>IF(A1653="","",LOWER(TEXT(A1653,"[$-es-ES]mmmm"))&amp;" "&amp;YEAR(A1653))</f>
        <v/>
      </c>
      <c r="G1653" s="8"/>
    </row>
    <row r="1654" spans="1:7">
      <c r="A1654" s="7"/>
      <c r="B1654" s="6" t="str">
        <f>IF(A1654="","",LOWER(TEXT(A1654,"[$-es-ES]mmmm"))&amp;" "&amp;YEAR(A1654))</f>
        <v/>
      </c>
      <c r="G1654" s="8"/>
    </row>
    <row r="1655" spans="1:7">
      <c r="A1655" s="7"/>
      <c r="B1655" s="6" t="str">
        <f>IF(A1655="","",LOWER(TEXT(A1655,"[$-es-ES]mmmm"))&amp;" "&amp;YEAR(A1655))</f>
        <v/>
      </c>
      <c r="G1655" s="8"/>
    </row>
    <row r="1656" spans="1:7">
      <c r="A1656" s="7"/>
      <c r="B1656" s="6" t="str">
        <f>IF(A1656="","",LOWER(TEXT(A1656,"[$-es-ES]mmmm"))&amp;" "&amp;YEAR(A1656))</f>
        <v/>
      </c>
      <c r="G1656" s="8"/>
    </row>
    <row r="1657" spans="1:7">
      <c r="A1657" s="7"/>
      <c r="B1657" s="6" t="str">
        <f>IF(A1657="","",LOWER(TEXT(A1657,"[$-es-ES]mmmm"))&amp;" "&amp;YEAR(A1657))</f>
        <v/>
      </c>
      <c r="G1657" s="8"/>
    </row>
    <row r="1658" spans="1:7">
      <c r="A1658" s="7"/>
      <c r="B1658" s="6" t="str">
        <f>IF(A1658="","",LOWER(TEXT(A1658,"[$-es-ES]mmmm"))&amp;" "&amp;YEAR(A1658))</f>
        <v/>
      </c>
      <c r="G1658" s="8"/>
    </row>
    <row r="1659" spans="1:7">
      <c r="A1659" s="7"/>
      <c r="B1659" s="6" t="str">
        <f>IF(A1659="","",LOWER(TEXT(A1659,"[$-es-ES]mmmm"))&amp;" "&amp;YEAR(A1659))</f>
        <v/>
      </c>
      <c r="G1659" s="8"/>
    </row>
    <row r="1660" spans="1:7">
      <c r="A1660" s="7"/>
      <c r="B1660" s="6" t="str">
        <f>IF(A1660="","",LOWER(TEXT(A1660,"[$-es-ES]mmmm"))&amp;" "&amp;YEAR(A1660))</f>
        <v/>
      </c>
      <c r="G1660" s="8"/>
    </row>
    <row r="1661" spans="1:7">
      <c r="A1661" s="7"/>
      <c r="B1661" s="6" t="str">
        <f>IF(A1661="","",LOWER(TEXT(A1661,"[$-es-ES]mmmm"))&amp;" "&amp;YEAR(A1661))</f>
        <v/>
      </c>
      <c r="G1661" s="8"/>
    </row>
    <row r="1662" spans="1:7">
      <c r="A1662" s="7"/>
      <c r="B1662" s="6" t="str">
        <f>IF(A1662="","",LOWER(TEXT(A1662,"[$-es-ES]mmmm"))&amp;" "&amp;YEAR(A1662))</f>
        <v/>
      </c>
      <c r="G1662" s="8"/>
    </row>
    <row r="1663" spans="1:7">
      <c r="A1663" s="7"/>
      <c r="B1663" s="6" t="str">
        <f>IF(A1663="","",LOWER(TEXT(A1663,"[$-es-ES]mmmm"))&amp;" "&amp;YEAR(A1663))</f>
        <v/>
      </c>
      <c r="G1663" s="8"/>
    </row>
    <row r="1664" spans="1:7">
      <c r="A1664" s="7"/>
      <c r="B1664" s="6" t="str">
        <f>IF(A1664="","",LOWER(TEXT(A1664,"[$-es-ES]mmmm"))&amp;" "&amp;YEAR(A1664))</f>
        <v/>
      </c>
      <c r="G1664" s="8"/>
    </row>
    <row r="1665" spans="1:7">
      <c r="A1665" s="7"/>
      <c r="B1665" s="6" t="str">
        <f>IF(A1665="","",LOWER(TEXT(A1665,"[$-es-ES]mmmm"))&amp;" "&amp;YEAR(A1665))</f>
        <v/>
      </c>
      <c r="G1665" s="8"/>
    </row>
    <row r="1666" spans="1:7">
      <c r="A1666" s="7"/>
      <c r="B1666" s="6" t="str">
        <f>IF(A1666="","",LOWER(TEXT(A1666,"[$-es-ES]mmmm"))&amp;" "&amp;YEAR(A1666))</f>
        <v/>
      </c>
      <c r="G1666" s="8"/>
    </row>
    <row r="1667" spans="1:7">
      <c r="A1667" s="7"/>
      <c r="B1667" s="6" t="str">
        <f>IF(A1667="","",LOWER(TEXT(A1667,"[$-es-ES]mmmm"))&amp;" "&amp;YEAR(A1667))</f>
        <v/>
      </c>
      <c r="G1667" s="8"/>
    </row>
    <row r="1668" spans="1:7">
      <c r="A1668" s="7"/>
      <c r="B1668" s="6" t="str">
        <f>IF(A1668="","",LOWER(TEXT(A1668,"[$-es-ES]mmmm"))&amp;" "&amp;YEAR(A1668))</f>
        <v/>
      </c>
      <c r="G1668" s="8"/>
    </row>
    <row r="1669" spans="1:7">
      <c r="A1669" s="7"/>
      <c r="B1669" s="6" t="str">
        <f>IF(A1669="","",LOWER(TEXT(A1669,"[$-es-ES]mmmm"))&amp;" "&amp;YEAR(A1669))</f>
        <v/>
      </c>
      <c r="G1669" s="8"/>
    </row>
    <row r="1670" spans="1:7">
      <c r="A1670" s="7"/>
      <c r="B1670" s="6" t="str">
        <f>IF(A1670="","",LOWER(TEXT(A1670,"[$-es-ES]mmmm"))&amp;" "&amp;YEAR(A1670))</f>
        <v/>
      </c>
      <c r="G1670" s="8"/>
    </row>
    <row r="1671" spans="1:7">
      <c r="A1671" s="7"/>
      <c r="B1671" s="6" t="str">
        <f>IF(A1671="","",LOWER(TEXT(A1671,"[$-es-ES]mmmm"))&amp;" "&amp;YEAR(A1671))</f>
        <v/>
      </c>
      <c r="G1671" s="8"/>
    </row>
    <row r="1672" spans="1:7">
      <c r="A1672" s="7"/>
      <c r="B1672" s="6" t="str">
        <f>IF(A1672="","",LOWER(TEXT(A1672,"[$-es-ES]mmmm"))&amp;" "&amp;YEAR(A1672))</f>
        <v/>
      </c>
      <c r="G1672" s="8"/>
    </row>
    <row r="1673" spans="1:7">
      <c r="A1673" s="7"/>
      <c r="B1673" s="6" t="str">
        <f>IF(A1673="","",LOWER(TEXT(A1673,"[$-es-ES]mmmm"))&amp;" "&amp;YEAR(A1673))</f>
        <v/>
      </c>
      <c r="G1673" s="8"/>
    </row>
    <row r="1674" spans="1:7">
      <c r="A1674" s="7"/>
      <c r="B1674" s="6" t="str">
        <f>IF(A1674="","",LOWER(TEXT(A1674,"[$-es-ES]mmmm"))&amp;" "&amp;YEAR(A1674))</f>
        <v/>
      </c>
      <c r="G1674" s="8"/>
    </row>
    <row r="1675" spans="1:7">
      <c r="A1675" s="7"/>
      <c r="B1675" s="6" t="str">
        <f>IF(A1675="","",LOWER(TEXT(A1675,"[$-es-ES]mmmm"))&amp;" "&amp;YEAR(A1675))</f>
        <v/>
      </c>
      <c r="G1675" s="8"/>
    </row>
    <row r="1676" spans="1:7">
      <c r="A1676" s="7"/>
      <c r="B1676" s="6" t="str">
        <f>IF(A1676="","",LOWER(TEXT(A1676,"[$-es-ES]mmmm"))&amp;" "&amp;YEAR(A1676))</f>
        <v/>
      </c>
      <c r="G1676" s="8"/>
    </row>
    <row r="1677" spans="1:7">
      <c r="A1677" s="7"/>
      <c r="B1677" s="6" t="str">
        <f>IF(A1677="","",LOWER(TEXT(A1677,"[$-es-ES]mmmm"))&amp;" "&amp;YEAR(A1677))</f>
        <v/>
      </c>
      <c r="G1677" s="8"/>
    </row>
    <row r="1678" spans="1:7">
      <c r="A1678" s="7"/>
      <c r="B1678" s="6" t="str">
        <f>IF(A1678="","",LOWER(TEXT(A1678,"[$-es-ES]mmmm"))&amp;" "&amp;YEAR(A1678))</f>
        <v/>
      </c>
      <c r="G1678" s="8"/>
    </row>
    <row r="1679" spans="1:7">
      <c r="A1679" s="7"/>
      <c r="B1679" s="6" t="str">
        <f>IF(A1679="","",LOWER(TEXT(A1679,"[$-es-ES]mmmm"))&amp;" "&amp;YEAR(A1679))</f>
        <v/>
      </c>
      <c r="G1679" s="8"/>
    </row>
    <row r="1680" spans="1:7">
      <c r="A1680" s="7"/>
      <c r="B1680" s="6" t="str">
        <f>IF(A1680="","",LOWER(TEXT(A1680,"[$-es-ES]mmmm"))&amp;" "&amp;YEAR(A1680))</f>
        <v/>
      </c>
      <c r="G1680" s="8"/>
    </row>
    <row r="1681" spans="1:7">
      <c r="A1681" s="7"/>
      <c r="B1681" s="6" t="str">
        <f>IF(A1681="","",LOWER(TEXT(A1681,"[$-es-ES]mmmm"))&amp;" "&amp;YEAR(A1681))</f>
        <v/>
      </c>
      <c r="G1681" s="8"/>
    </row>
    <row r="1682" spans="1:7">
      <c r="A1682" s="7"/>
      <c r="B1682" s="6" t="str">
        <f>IF(A1682="","",LOWER(TEXT(A1682,"[$-es-ES]mmmm"))&amp;" "&amp;YEAR(A1682))</f>
        <v/>
      </c>
      <c r="G1682" s="8"/>
    </row>
    <row r="1683" spans="1:7">
      <c r="A1683" s="7"/>
      <c r="B1683" s="6" t="str">
        <f>IF(A1683="","",LOWER(TEXT(A1683,"[$-es-ES]mmmm"))&amp;" "&amp;YEAR(A1683))</f>
        <v/>
      </c>
      <c r="G1683" s="8"/>
    </row>
    <row r="1684" spans="1:7">
      <c r="A1684" s="7"/>
      <c r="B1684" s="6" t="str">
        <f>IF(A1684="","",LOWER(TEXT(A1684,"[$-es-ES]mmmm"))&amp;" "&amp;YEAR(A1684))</f>
        <v/>
      </c>
      <c r="G1684" s="8"/>
    </row>
    <row r="1685" spans="1:7">
      <c r="A1685" s="7"/>
      <c r="B1685" s="6" t="str">
        <f>IF(A1685="","",LOWER(TEXT(A1685,"[$-es-ES]mmmm"))&amp;" "&amp;YEAR(A1685))</f>
        <v/>
      </c>
      <c r="G1685" s="8"/>
    </row>
    <row r="1686" spans="1:7">
      <c r="A1686" s="7"/>
      <c r="B1686" s="6" t="str">
        <f>IF(A1686="","",LOWER(TEXT(A1686,"[$-es-ES]mmmm"))&amp;" "&amp;YEAR(A1686))</f>
        <v/>
      </c>
      <c r="G1686" s="8"/>
    </row>
    <row r="1687" spans="1:7">
      <c r="A1687" s="7"/>
      <c r="B1687" s="6" t="str">
        <f>IF(A1687="","",LOWER(TEXT(A1687,"[$-es-ES]mmmm"))&amp;" "&amp;YEAR(A1687))</f>
        <v/>
      </c>
      <c r="G1687" s="8"/>
    </row>
    <row r="1688" spans="1:7">
      <c r="A1688" s="7"/>
      <c r="B1688" s="6" t="str">
        <f>IF(A1688="","",LOWER(TEXT(A1688,"[$-es-ES]mmmm"))&amp;" "&amp;YEAR(A1688))</f>
        <v/>
      </c>
      <c r="G1688" s="8"/>
    </row>
    <row r="1689" spans="1:7">
      <c r="A1689" s="7"/>
      <c r="B1689" s="6" t="str">
        <f>IF(A1689="","",LOWER(TEXT(A1689,"[$-es-ES]mmmm"))&amp;" "&amp;YEAR(A1689))</f>
        <v/>
      </c>
      <c r="G1689" s="8"/>
    </row>
    <row r="1690" spans="1:7">
      <c r="A1690" s="7"/>
      <c r="B1690" s="6" t="str">
        <f>IF(A1690="","",LOWER(TEXT(A1690,"[$-es-ES]mmmm"))&amp;" "&amp;YEAR(A1690))</f>
        <v/>
      </c>
      <c r="G1690" s="8"/>
    </row>
    <row r="1691" spans="1:7">
      <c r="A1691" s="7"/>
      <c r="B1691" s="6" t="str">
        <f>IF(A1691="","",LOWER(TEXT(A1691,"[$-es-ES]mmmm"))&amp;" "&amp;YEAR(A1691))</f>
        <v/>
      </c>
      <c r="G1691" s="8"/>
    </row>
    <row r="1692" spans="1:7">
      <c r="A1692" s="7"/>
      <c r="B1692" s="6" t="str">
        <f>IF(A1692="","",LOWER(TEXT(A1692,"[$-es-ES]mmmm"))&amp;" "&amp;YEAR(A1692))</f>
        <v/>
      </c>
      <c r="G1692" s="8"/>
    </row>
    <row r="1693" spans="1:7">
      <c r="A1693" s="7"/>
      <c r="B1693" s="6" t="str">
        <f>IF(A1693="","",LOWER(TEXT(A1693,"[$-es-ES]mmmm"))&amp;" "&amp;YEAR(A1693))</f>
        <v/>
      </c>
      <c r="G1693" s="8"/>
    </row>
    <row r="1694" spans="1:7">
      <c r="A1694" s="7"/>
      <c r="B1694" s="6" t="str">
        <f>IF(A1694="","",LOWER(TEXT(A1694,"[$-es-ES]mmmm"))&amp;" "&amp;YEAR(A1694))</f>
        <v/>
      </c>
      <c r="G1694" s="8"/>
    </row>
    <row r="1695" spans="1:7">
      <c r="A1695" s="7"/>
      <c r="B1695" s="6" t="str">
        <f>IF(A1695="","",LOWER(TEXT(A1695,"[$-es-ES]mmmm"))&amp;" "&amp;YEAR(A1695))</f>
        <v/>
      </c>
      <c r="G1695" s="8"/>
    </row>
    <row r="1696" spans="1:7">
      <c r="A1696" s="7"/>
      <c r="B1696" s="6" t="str">
        <f>IF(A1696="","",LOWER(TEXT(A1696,"[$-es-ES]mmmm"))&amp;" "&amp;YEAR(A1696))</f>
        <v/>
      </c>
      <c r="G1696" s="8"/>
    </row>
    <row r="1697" spans="1:7">
      <c r="A1697" s="7"/>
      <c r="B1697" s="6" t="str">
        <f>IF(A1697="","",LOWER(TEXT(A1697,"[$-es-ES]mmmm"))&amp;" "&amp;YEAR(A1697))</f>
        <v/>
      </c>
      <c r="G1697" s="8"/>
    </row>
    <row r="1698" spans="1:7">
      <c r="A1698" s="7"/>
      <c r="B1698" s="6" t="str">
        <f>IF(A1698="","",LOWER(TEXT(A1698,"[$-es-ES]mmmm"))&amp;" "&amp;YEAR(A1698))</f>
        <v/>
      </c>
      <c r="G1698" s="8"/>
    </row>
    <row r="1699" spans="1:7">
      <c r="A1699" s="7"/>
      <c r="B1699" s="6" t="str">
        <f>IF(A1699="","",LOWER(TEXT(A1699,"[$-es-ES]mmmm"))&amp;" "&amp;YEAR(A1699))</f>
        <v/>
      </c>
      <c r="G1699" s="8"/>
    </row>
    <row r="1700" spans="1:7">
      <c r="A1700" s="7"/>
      <c r="B1700" s="6" t="str">
        <f>IF(A1700="","",LOWER(TEXT(A1700,"[$-es-ES]mmmm"))&amp;" "&amp;YEAR(A1700))</f>
        <v/>
      </c>
      <c r="G1700" s="8"/>
    </row>
    <row r="1701" spans="1:7">
      <c r="A1701" s="7"/>
      <c r="B1701" s="6" t="str">
        <f>IF(A1701="","",LOWER(TEXT(A1701,"[$-es-ES]mmmm"))&amp;" "&amp;YEAR(A1701))</f>
        <v/>
      </c>
      <c r="G1701" s="8"/>
    </row>
    <row r="1702" spans="1:7">
      <c r="A1702" s="7"/>
      <c r="B1702" s="6" t="str">
        <f>IF(A1702="","",LOWER(TEXT(A1702,"[$-es-ES]mmmm"))&amp;" "&amp;YEAR(A1702))</f>
        <v/>
      </c>
      <c r="G1702" s="8"/>
    </row>
    <row r="1703" spans="1:7">
      <c r="A1703" s="7"/>
      <c r="B1703" s="6" t="str">
        <f>IF(A1703="","",LOWER(TEXT(A1703,"[$-es-ES]mmmm"))&amp;" "&amp;YEAR(A1703))</f>
        <v/>
      </c>
      <c r="G1703" s="8"/>
    </row>
    <row r="1704" spans="1:7">
      <c r="A1704" s="7"/>
      <c r="B1704" s="6" t="str">
        <f>IF(A1704="","",LOWER(TEXT(A1704,"[$-es-ES]mmmm"))&amp;" "&amp;YEAR(A1704))</f>
        <v/>
      </c>
      <c r="G1704" s="8"/>
    </row>
    <row r="1705" spans="1:7">
      <c r="A1705" s="7"/>
      <c r="B1705" s="6" t="str">
        <f>IF(A1705="","",LOWER(TEXT(A1705,"[$-es-ES]mmmm"))&amp;" "&amp;YEAR(A1705))</f>
        <v/>
      </c>
      <c r="G1705" s="8"/>
    </row>
    <row r="1706" spans="1:7">
      <c r="A1706" s="7"/>
      <c r="B1706" s="6" t="str">
        <f>IF(A1706="","",LOWER(TEXT(A1706,"[$-es-ES]mmmm"))&amp;" "&amp;YEAR(A1706))</f>
        <v/>
      </c>
      <c r="G1706" s="8"/>
    </row>
    <row r="1707" spans="1:7">
      <c r="A1707" s="7"/>
      <c r="B1707" s="6" t="str">
        <f>IF(A1707="","",LOWER(TEXT(A1707,"[$-es-ES]mmmm"))&amp;" "&amp;YEAR(A1707))</f>
        <v/>
      </c>
      <c r="G1707" s="8"/>
    </row>
    <row r="1708" spans="1:7">
      <c r="A1708" s="7"/>
      <c r="B1708" s="6" t="str">
        <f>IF(A1708="","",LOWER(TEXT(A1708,"[$-es-ES]mmmm"))&amp;" "&amp;YEAR(A1708))</f>
        <v/>
      </c>
      <c r="G1708" s="8"/>
    </row>
    <row r="1709" spans="1:7">
      <c r="A1709" s="7"/>
      <c r="B1709" s="6" t="str">
        <f>IF(A1709="","",LOWER(TEXT(A1709,"[$-es-ES]mmmm"))&amp;" "&amp;YEAR(A1709))</f>
        <v/>
      </c>
      <c r="G1709" s="8"/>
    </row>
    <row r="1710" spans="1:7">
      <c r="A1710" s="7"/>
      <c r="B1710" s="6" t="str">
        <f>IF(A1710="","",LOWER(TEXT(A1710,"[$-es-ES]mmmm"))&amp;" "&amp;YEAR(A1710))</f>
        <v/>
      </c>
      <c r="G1710" s="8"/>
    </row>
    <row r="1711" spans="1:7">
      <c r="A1711" s="7"/>
      <c r="B1711" s="6" t="str">
        <f>IF(A1711="","",LOWER(TEXT(A1711,"[$-es-ES]mmmm"))&amp;" "&amp;YEAR(A1711))</f>
        <v/>
      </c>
      <c r="G1711" s="8"/>
    </row>
    <row r="1712" spans="1:7">
      <c r="A1712" s="7"/>
      <c r="B1712" s="6" t="str">
        <f>IF(A1712="","",LOWER(TEXT(A1712,"[$-es-ES]mmmm"))&amp;" "&amp;YEAR(A1712))</f>
        <v/>
      </c>
      <c r="G1712" s="8"/>
    </row>
    <row r="1713" spans="1:7">
      <c r="A1713" s="7"/>
      <c r="B1713" s="6" t="str">
        <f>IF(A1713="","",LOWER(TEXT(A1713,"[$-es-ES]mmmm"))&amp;" "&amp;YEAR(A1713))</f>
        <v/>
      </c>
      <c r="G1713" s="8"/>
    </row>
    <row r="1714" spans="1:7">
      <c r="A1714" s="7"/>
      <c r="B1714" s="6" t="str">
        <f>IF(A1714="","",LOWER(TEXT(A1714,"[$-es-ES]mmmm"))&amp;" "&amp;YEAR(A1714))</f>
        <v/>
      </c>
      <c r="G1714" s="8"/>
    </row>
    <row r="1715" spans="1:7">
      <c r="A1715" s="7"/>
      <c r="B1715" s="6" t="str">
        <f>IF(A1715="","",LOWER(TEXT(A1715,"[$-es-ES]mmmm"))&amp;" "&amp;YEAR(A1715))</f>
        <v/>
      </c>
      <c r="G1715" s="8"/>
    </row>
    <row r="1716" spans="1:7">
      <c r="A1716" s="7"/>
      <c r="B1716" s="6" t="str">
        <f>IF(A1716="","",LOWER(TEXT(A1716,"[$-es-ES]mmmm"))&amp;" "&amp;YEAR(A1716))</f>
        <v/>
      </c>
      <c r="G1716" s="8"/>
    </row>
    <row r="1717" spans="1:7">
      <c r="A1717" s="7"/>
      <c r="B1717" s="6" t="str">
        <f>IF(A1717="","",LOWER(TEXT(A1717,"[$-es-ES]mmmm"))&amp;" "&amp;YEAR(A1717))</f>
        <v/>
      </c>
      <c r="G1717" s="8"/>
    </row>
    <row r="1718" spans="1:7">
      <c r="A1718" s="7"/>
      <c r="B1718" s="6" t="str">
        <f>IF(A1718="","",LOWER(TEXT(A1718,"[$-es-ES]mmmm"))&amp;" "&amp;YEAR(A1718))</f>
        <v/>
      </c>
      <c r="G1718" s="8"/>
    </row>
    <row r="1719" spans="1:7">
      <c r="A1719" s="7"/>
      <c r="B1719" s="6" t="str">
        <f>IF(A1719="","",LOWER(TEXT(A1719,"[$-es-ES]mmmm"))&amp;" "&amp;YEAR(A1719))</f>
        <v/>
      </c>
      <c r="G1719" s="8"/>
    </row>
    <row r="1720" spans="1:7">
      <c r="A1720" s="7"/>
      <c r="B1720" s="6" t="str">
        <f>IF(A1720="","",LOWER(TEXT(A1720,"[$-es-ES]mmmm"))&amp;" "&amp;YEAR(A1720))</f>
        <v/>
      </c>
      <c r="G1720" s="8"/>
    </row>
    <row r="1721" spans="1:7">
      <c r="A1721" s="7"/>
      <c r="B1721" s="6" t="str">
        <f>IF(A1721="","",LOWER(TEXT(A1721,"[$-es-ES]mmmm"))&amp;" "&amp;YEAR(A1721))</f>
        <v/>
      </c>
      <c r="G1721" s="8"/>
    </row>
    <row r="1722" spans="1:7">
      <c r="A1722" s="7"/>
      <c r="B1722" s="6" t="str">
        <f>IF(A1722="","",LOWER(TEXT(A1722,"[$-es-ES]mmmm"))&amp;" "&amp;YEAR(A1722))</f>
        <v/>
      </c>
      <c r="G1722" s="8"/>
    </row>
    <row r="1723" spans="1:7">
      <c r="A1723" s="7"/>
      <c r="B1723" s="6" t="str">
        <f>IF(A1723="","",LOWER(TEXT(A1723,"[$-es-ES]mmmm"))&amp;" "&amp;YEAR(A1723))</f>
        <v/>
      </c>
      <c r="G1723" s="8"/>
    </row>
    <row r="1724" spans="1:7">
      <c r="A1724" s="7"/>
      <c r="B1724" s="6" t="str">
        <f>IF(A1724="","",LOWER(TEXT(A1724,"[$-es-ES]mmmm"))&amp;" "&amp;YEAR(A1724))</f>
        <v/>
      </c>
      <c r="G1724" s="8"/>
    </row>
    <row r="1725" spans="1:7">
      <c r="A1725" s="7"/>
      <c r="B1725" s="6" t="str">
        <f>IF(A1725="","",LOWER(TEXT(A1725,"[$-es-ES]mmmm"))&amp;" "&amp;YEAR(A1725))</f>
        <v/>
      </c>
      <c r="G1725" s="8"/>
    </row>
    <row r="1726" spans="1:7">
      <c r="A1726" s="7"/>
      <c r="B1726" s="6" t="str">
        <f>IF(A1726="","",LOWER(TEXT(A1726,"[$-es-ES]mmmm"))&amp;" "&amp;YEAR(A1726))</f>
        <v/>
      </c>
      <c r="G1726" s="8"/>
    </row>
    <row r="1727" spans="1:7">
      <c r="A1727" s="7"/>
      <c r="B1727" s="6" t="str">
        <f>IF(A1727="","",LOWER(TEXT(A1727,"[$-es-ES]mmmm"))&amp;" "&amp;YEAR(A1727))</f>
        <v/>
      </c>
      <c r="G1727" s="8"/>
    </row>
    <row r="1728" spans="1:7">
      <c r="A1728" s="7"/>
      <c r="B1728" s="6" t="str">
        <f>IF(A1728="","",LOWER(TEXT(A1728,"[$-es-ES]mmmm"))&amp;" "&amp;YEAR(A1728))</f>
        <v/>
      </c>
      <c r="G1728" s="8"/>
    </row>
    <row r="1729" spans="1:7">
      <c r="A1729" s="7"/>
      <c r="B1729" s="6" t="str">
        <f>IF(A1729="","",LOWER(TEXT(A1729,"[$-es-ES]mmmm"))&amp;" "&amp;YEAR(A1729))</f>
        <v/>
      </c>
      <c r="G1729" s="8"/>
    </row>
    <row r="1730" spans="1:7">
      <c r="A1730" s="7"/>
      <c r="B1730" s="6" t="str">
        <f>IF(A1730="","",LOWER(TEXT(A1730,"[$-es-ES]mmmm"))&amp;" "&amp;YEAR(A1730))</f>
        <v/>
      </c>
      <c r="G1730" s="8"/>
    </row>
    <row r="1731" spans="1:7">
      <c r="A1731" s="7"/>
      <c r="B1731" s="6" t="str">
        <f>IF(A1731="","",LOWER(TEXT(A1731,"[$-es-ES]mmmm"))&amp;" "&amp;YEAR(A1731))</f>
        <v/>
      </c>
      <c r="G1731" s="8"/>
    </row>
    <row r="1732" spans="1:7">
      <c r="A1732" s="7"/>
      <c r="B1732" s="6" t="str">
        <f>IF(A1732="","",LOWER(TEXT(A1732,"[$-es-ES]mmmm"))&amp;" "&amp;YEAR(A1732))</f>
        <v/>
      </c>
      <c r="G1732" s="8"/>
    </row>
    <row r="1733" spans="1:7">
      <c r="A1733" s="7"/>
      <c r="B1733" s="6" t="str">
        <f>IF(A1733="","",LOWER(TEXT(A1733,"[$-es-ES]mmmm"))&amp;" "&amp;YEAR(A1733))</f>
        <v/>
      </c>
      <c r="G1733" s="8"/>
    </row>
    <row r="1734" spans="1:7">
      <c r="A1734" s="7"/>
      <c r="B1734" s="6" t="str">
        <f>IF(A1734="","",LOWER(TEXT(A1734,"[$-es-ES]mmmm"))&amp;" "&amp;YEAR(A1734))</f>
        <v/>
      </c>
      <c r="G1734" s="8"/>
    </row>
    <row r="1735" spans="1:7">
      <c r="A1735" s="7"/>
      <c r="B1735" s="6" t="str">
        <f>IF(A1735="","",LOWER(TEXT(A1735,"[$-es-ES]mmmm"))&amp;" "&amp;YEAR(A1735))</f>
        <v/>
      </c>
      <c r="G1735" s="8"/>
    </row>
    <row r="1736" spans="1:7">
      <c r="A1736" s="7"/>
      <c r="B1736" s="6" t="str">
        <f>IF(A1736="","",LOWER(TEXT(A1736,"[$-es-ES]mmmm"))&amp;" "&amp;YEAR(A1736))</f>
        <v/>
      </c>
      <c r="G1736" s="8"/>
    </row>
    <row r="1737" spans="1:7">
      <c r="A1737" s="7"/>
      <c r="B1737" s="6" t="str">
        <f>IF(A1737="","",LOWER(TEXT(A1737,"[$-es-ES]mmmm"))&amp;" "&amp;YEAR(A1737))</f>
        <v/>
      </c>
      <c r="G1737" s="8"/>
    </row>
    <row r="1738" spans="1:7">
      <c r="A1738" s="7"/>
      <c r="B1738" s="6" t="str">
        <f>IF(A1738="","",LOWER(TEXT(A1738,"[$-es-ES]mmmm"))&amp;" "&amp;YEAR(A1738))</f>
        <v/>
      </c>
      <c r="G1738" s="8"/>
    </row>
    <row r="1739" spans="1:7">
      <c r="A1739" s="7"/>
      <c r="B1739" s="6" t="str">
        <f>IF(A1739="","",LOWER(TEXT(A1739,"[$-es-ES]mmmm"))&amp;" "&amp;YEAR(A1739))</f>
        <v/>
      </c>
      <c r="G1739" s="8"/>
    </row>
    <row r="1740" spans="1:7">
      <c r="A1740" s="7"/>
      <c r="B1740" s="6" t="str">
        <f>IF(A1740="","",LOWER(TEXT(A1740,"[$-es-ES]mmmm"))&amp;" "&amp;YEAR(A1740))</f>
        <v/>
      </c>
      <c r="G1740" s="8"/>
    </row>
    <row r="1741" spans="1:7">
      <c r="A1741" s="7"/>
      <c r="B1741" s="6" t="str">
        <f>IF(A1741="","",LOWER(TEXT(A1741,"[$-es-ES]mmmm"))&amp;" "&amp;YEAR(A1741))</f>
        <v/>
      </c>
      <c r="G1741" s="8"/>
    </row>
    <row r="1742" spans="1:7">
      <c r="A1742" s="7"/>
      <c r="B1742" s="6" t="str">
        <f>IF(A1742="","",LOWER(TEXT(A1742,"[$-es-ES]mmmm"))&amp;" "&amp;YEAR(A1742))</f>
        <v/>
      </c>
      <c r="G1742" s="8"/>
    </row>
    <row r="1743" spans="1:7">
      <c r="A1743" s="7"/>
      <c r="B1743" s="6" t="str">
        <f>IF(A1743="","",LOWER(TEXT(A1743,"[$-es-ES]mmmm"))&amp;" "&amp;YEAR(A1743))</f>
        <v/>
      </c>
      <c r="G1743" s="8"/>
    </row>
    <row r="1744" spans="1:7">
      <c r="A1744" s="7"/>
      <c r="B1744" s="6" t="str">
        <f>IF(A1744="","",LOWER(TEXT(A1744,"[$-es-ES]mmmm"))&amp;" "&amp;YEAR(A1744))</f>
        <v/>
      </c>
      <c r="G1744" s="8"/>
    </row>
    <row r="1745" spans="1:7">
      <c r="A1745" s="7"/>
      <c r="B1745" s="6" t="str">
        <f>IF(A1745="","",LOWER(TEXT(A1745,"[$-es-ES]mmmm"))&amp;" "&amp;YEAR(A1745))</f>
        <v/>
      </c>
      <c r="G1745" s="8"/>
    </row>
    <row r="1746" spans="1:7">
      <c r="A1746" s="7"/>
      <c r="B1746" s="6" t="str">
        <f>IF(A1746="","",LOWER(TEXT(A1746,"[$-es-ES]mmmm"))&amp;" "&amp;YEAR(A1746))</f>
        <v/>
      </c>
      <c r="G1746" s="8"/>
    </row>
    <row r="1747" spans="1:7">
      <c r="A1747" s="7"/>
      <c r="B1747" s="6" t="str">
        <f>IF(A1747="","",LOWER(TEXT(A1747,"[$-es-ES]mmmm"))&amp;" "&amp;YEAR(A1747))</f>
        <v/>
      </c>
      <c r="G1747" s="8"/>
    </row>
    <row r="1748" spans="1:7">
      <c r="A1748" s="7"/>
      <c r="B1748" s="6" t="str">
        <f>IF(A1748="","",LOWER(TEXT(A1748,"[$-es-ES]mmmm"))&amp;" "&amp;YEAR(A1748))</f>
        <v/>
      </c>
      <c r="G1748" s="8"/>
    </row>
    <row r="1749" spans="1:7">
      <c r="A1749" s="7"/>
      <c r="B1749" s="6" t="str">
        <f>IF(A1749="","",LOWER(TEXT(A1749,"[$-es-ES]mmmm"))&amp;" "&amp;YEAR(A1749))</f>
        <v/>
      </c>
      <c r="G1749" s="8"/>
    </row>
    <row r="1750" spans="1:7">
      <c r="A1750" s="7"/>
      <c r="B1750" s="6" t="str">
        <f>IF(A1750="","",LOWER(TEXT(A1750,"[$-es-ES]mmmm"))&amp;" "&amp;YEAR(A1750))</f>
        <v/>
      </c>
      <c r="G1750" s="8"/>
    </row>
    <row r="1751" spans="1:7">
      <c r="A1751" s="7"/>
      <c r="B1751" s="6" t="str">
        <f>IF(A1751="","",LOWER(TEXT(A1751,"[$-es-ES]mmmm"))&amp;" "&amp;YEAR(A1751))</f>
        <v/>
      </c>
      <c r="G1751" s="8"/>
    </row>
    <row r="1752" spans="1:7">
      <c r="A1752" s="7"/>
      <c r="B1752" s="6" t="str">
        <f>IF(A1752="","",LOWER(TEXT(A1752,"[$-es-ES]mmmm"))&amp;" "&amp;YEAR(A1752))</f>
        <v/>
      </c>
      <c r="G1752" s="8"/>
    </row>
    <row r="1753" spans="1:7">
      <c r="A1753" s="7"/>
      <c r="B1753" s="6" t="str">
        <f>IF(A1753="","",LOWER(TEXT(A1753,"[$-es-ES]mmmm"))&amp;" "&amp;YEAR(A1753))</f>
        <v/>
      </c>
      <c r="G1753" s="8"/>
    </row>
    <row r="1754" spans="1:7">
      <c r="A1754" s="7"/>
      <c r="B1754" s="6" t="str">
        <f>IF(A1754="","",LOWER(TEXT(A1754,"[$-es-ES]mmmm"))&amp;" "&amp;YEAR(A1754))</f>
        <v/>
      </c>
      <c r="G1754" s="8"/>
    </row>
    <row r="1755" spans="1:7">
      <c r="A1755" s="7"/>
      <c r="B1755" s="6" t="str">
        <f>IF(A1755="","",LOWER(TEXT(A1755,"[$-es-ES]mmmm"))&amp;" "&amp;YEAR(A1755))</f>
        <v/>
      </c>
      <c r="G1755" s="8"/>
    </row>
    <row r="1756" spans="1:7">
      <c r="A1756" s="7"/>
      <c r="B1756" s="6" t="str">
        <f>IF(A1756="","",LOWER(TEXT(A1756,"[$-es-ES]mmmm"))&amp;" "&amp;YEAR(A1756))</f>
        <v/>
      </c>
      <c r="G1756" s="8"/>
    </row>
    <row r="1757" spans="1:7">
      <c r="A1757" s="7"/>
      <c r="B1757" s="6" t="str">
        <f>IF(A1757="","",LOWER(TEXT(A1757,"[$-es-ES]mmmm"))&amp;" "&amp;YEAR(A1757))</f>
        <v/>
      </c>
      <c r="G1757" s="8"/>
    </row>
    <row r="1758" spans="1:7">
      <c r="A1758" s="7"/>
      <c r="B1758" s="6" t="str">
        <f>IF(A1758="","",LOWER(TEXT(A1758,"[$-es-ES]mmmm"))&amp;" "&amp;YEAR(A1758))</f>
        <v/>
      </c>
      <c r="G1758" s="8"/>
    </row>
    <row r="1759" spans="1:7">
      <c r="A1759" s="7"/>
      <c r="B1759" s="6" t="str">
        <f>IF(A1759="","",LOWER(TEXT(A1759,"[$-es-ES]mmmm"))&amp;" "&amp;YEAR(A1759))</f>
        <v/>
      </c>
      <c r="G1759" s="8"/>
    </row>
    <row r="1760" spans="1:7">
      <c r="A1760" s="7"/>
      <c r="B1760" s="6" t="str">
        <f>IF(A1760="","",LOWER(TEXT(A1760,"[$-es-ES]mmmm"))&amp;" "&amp;YEAR(A1760))</f>
        <v/>
      </c>
      <c r="G1760" s="8"/>
    </row>
    <row r="1761" spans="1:7">
      <c r="A1761" s="7"/>
      <c r="B1761" s="6" t="str">
        <f>IF(A1761="","",LOWER(TEXT(A1761,"[$-es-ES]mmmm"))&amp;" "&amp;YEAR(A1761))</f>
        <v/>
      </c>
      <c r="G1761" s="8"/>
    </row>
    <row r="1762" spans="1:7">
      <c r="A1762" s="7"/>
      <c r="B1762" s="6" t="str">
        <f>IF(A1762="","",LOWER(TEXT(A1762,"[$-es-ES]mmmm"))&amp;" "&amp;YEAR(A1762))</f>
        <v/>
      </c>
      <c r="G1762" s="8"/>
    </row>
    <row r="1763" spans="1:7">
      <c r="A1763" s="7"/>
      <c r="B1763" s="6" t="str">
        <f>IF(A1763="","",LOWER(TEXT(A1763,"[$-es-ES]mmmm"))&amp;" "&amp;YEAR(A1763))</f>
        <v/>
      </c>
      <c r="G1763" s="8"/>
    </row>
    <row r="1764" spans="1:7">
      <c r="A1764" s="7"/>
      <c r="B1764" s="6" t="str">
        <f>IF(A1764="","",LOWER(TEXT(A1764,"[$-es-ES]mmmm"))&amp;" "&amp;YEAR(A1764))</f>
        <v/>
      </c>
      <c r="G1764" s="8"/>
    </row>
    <row r="1765" spans="1:7">
      <c r="A1765" s="7"/>
      <c r="B1765" s="6" t="str">
        <f>IF(A1765="","",LOWER(TEXT(A1765,"[$-es-ES]mmmm"))&amp;" "&amp;YEAR(A1765))</f>
        <v/>
      </c>
      <c r="G1765" s="8"/>
    </row>
    <row r="1766" spans="1:7">
      <c r="A1766" s="7"/>
      <c r="B1766" s="6" t="str">
        <f>IF(A1766="","",LOWER(TEXT(A1766,"[$-es-ES]mmmm"))&amp;" "&amp;YEAR(A1766))</f>
        <v/>
      </c>
      <c r="G1766" s="8"/>
    </row>
    <row r="1767" spans="1:7">
      <c r="A1767" s="7"/>
      <c r="B1767" s="6" t="str">
        <f>IF(A1767="","",LOWER(TEXT(A1767,"[$-es-ES]mmmm"))&amp;" "&amp;YEAR(A1767))</f>
        <v/>
      </c>
      <c r="G1767" s="8"/>
    </row>
    <row r="1768" spans="1:7">
      <c r="A1768" s="7"/>
      <c r="B1768" s="6" t="str">
        <f>IF(A1768="","",LOWER(TEXT(A1768,"[$-es-ES]mmmm"))&amp;" "&amp;YEAR(A1768))</f>
        <v/>
      </c>
      <c r="G1768" s="8"/>
    </row>
    <row r="1769" spans="1:7">
      <c r="A1769" s="7"/>
      <c r="B1769" s="6" t="str">
        <f>IF(A1769="","",LOWER(TEXT(A1769,"[$-es-ES]mmmm"))&amp;" "&amp;YEAR(A1769))</f>
        <v/>
      </c>
      <c r="G1769" s="8"/>
    </row>
    <row r="1770" spans="1:7">
      <c r="A1770" s="7"/>
      <c r="B1770" s="6" t="str">
        <f>IF(A1770="","",LOWER(TEXT(A1770,"[$-es-ES]mmmm"))&amp;" "&amp;YEAR(A1770))</f>
        <v/>
      </c>
      <c r="G1770" s="8"/>
    </row>
    <row r="1771" spans="1:7">
      <c r="A1771" s="7"/>
      <c r="B1771" s="6" t="str">
        <f>IF(A1771="","",LOWER(TEXT(A1771,"[$-es-ES]mmmm"))&amp;" "&amp;YEAR(A1771))</f>
        <v/>
      </c>
      <c r="G1771" s="8"/>
    </row>
    <row r="1772" spans="1:7">
      <c r="A1772" s="7"/>
      <c r="B1772" s="6" t="str">
        <f>IF(A1772="","",LOWER(TEXT(A1772,"[$-es-ES]mmmm"))&amp;" "&amp;YEAR(A1772))</f>
        <v/>
      </c>
      <c r="G1772" s="8"/>
    </row>
    <row r="1773" spans="1:7">
      <c r="A1773" s="7"/>
      <c r="B1773" s="6" t="str">
        <f>IF(A1773="","",LOWER(TEXT(A1773,"[$-es-ES]mmmm"))&amp;" "&amp;YEAR(A1773))</f>
        <v/>
      </c>
      <c r="G1773" s="8"/>
    </row>
    <row r="1774" spans="1:7">
      <c r="A1774" s="7"/>
      <c r="B1774" s="6" t="str">
        <f>IF(A1774="","",LOWER(TEXT(A1774,"[$-es-ES]mmmm"))&amp;" "&amp;YEAR(A1774))</f>
        <v/>
      </c>
      <c r="G1774" s="8"/>
    </row>
    <row r="1775" spans="1:7">
      <c r="A1775" s="7"/>
      <c r="B1775" s="6" t="str">
        <f>IF(A1775="","",LOWER(TEXT(A1775,"[$-es-ES]mmmm"))&amp;" "&amp;YEAR(A1775))</f>
        <v/>
      </c>
      <c r="G1775" s="8"/>
    </row>
    <row r="1776" spans="1:7">
      <c r="A1776" s="7"/>
      <c r="B1776" s="6" t="str">
        <f>IF(A1776="","",LOWER(TEXT(A1776,"[$-es-ES]mmmm"))&amp;" "&amp;YEAR(A1776))</f>
        <v/>
      </c>
      <c r="G1776" s="8"/>
    </row>
    <row r="1777" spans="1:7">
      <c r="A1777" s="7"/>
      <c r="B1777" s="6" t="str">
        <f>IF(A1777="","",LOWER(TEXT(A1777,"[$-es-ES]mmmm"))&amp;" "&amp;YEAR(A1777))</f>
        <v/>
      </c>
      <c r="G1777" s="8"/>
    </row>
    <row r="1778" spans="1:7">
      <c r="A1778" s="7"/>
      <c r="B1778" s="6" t="str">
        <f>IF(A1778="","",LOWER(TEXT(A1778,"[$-es-ES]mmmm"))&amp;" "&amp;YEAR(A1778))</f>
        <v/>
      </c>
      <c r="G1778" s="8"/>
    </row>
    <row r="1779" spans="1:7">
      <c r="A1779" s="7"/>
      <c r="B1779" s="6" t="str">
        <f>IF(A1779="","",LOWER(TEXT(A1779,"[$-es-ES]mmmm"))&amp;" "&amp;YEAR(A1779))</f>
        <v/>
      </c>
      <c r="G1779" s="8"/>
    </row>
    <row r="1780" spans="1:7">
      <c r="A1780" s="7"/>
      <c r="B1780" s="6" t="str">
        <f>IF(A1780="","",LOWER(TEXT(A1780,"[$-es-ES]mmmm"))&amp;" "&amp;YEAR(A1780))</f>
        <v/>
      </c>
      <c r="G1780" s="8"/>
    </row>
    <row r="1781" spans="1:7">
      <c r="A1781" s="7"/>
      <c r="B1781" s="6" t="str">
        <f>IF(A1781="","",LOWER(TEXT(A1781,"[$-es-ES]mmmm"))&amp;" "&amp;YEAR(A1781))</f>
        <v/>
      </c>
      <c r="G1781" s="8"/>
    </row>
    <row r="1782" spans="1:7">
      <c r="A1782" s="7"/>
      <c r="B1782" s="6" t="str">
        <f>IF(A1782="","",LOWER(TEXT(A1782,"[$-es-ES]mmmm"))&amp;" "&amp;YEAR(A1782))</f>
        <v/>
      </c>
      <c r="G1782" s="8"/>
    </row>
    <row r="1783" spans="1:7">
      <c r="A1783" s="7"/>
      <c r="B1783" s="6" t="str">
        <f>IF(A1783="","",LOWER(TEXT(A1783,"[$-es-ES]mmmm"))&amp;" "&amp;YEAR(A1783))</f>
        <v/>
      </c>
      <c r="G1783" s="8"/>
    </row>
    <row r="1784" spans="1:7">
      <c r="A1784" s="7"/>
      <c r="B1784" s="6" t="str">
        <f>IF(A1784="","",LOWER(TEXT(A1784,"[$-es-ES]mmmm"))&amp;" "&amp;YEAR(A1784))</f>
        <v/>
      </c>
      <c r="G1784" s="8"/>
    </row>
    <row r="1785" spans="1:7">
      <c r="A1785" s="7"/>
      <c r="B1785" s="6" t="str">
        <f>IF(A1785="","",LOWER(TEXT(A1785,"[$-es-ES]mmmm"))&amp;" "&amp;YEAR(A1785))</f>
        <v/>
      </c>
      <c r="G1785" s="8"/>
    </row>
    <row r="1786" spans="1:7">
      <c r="A1786" s="7"/>
      <c r="B1786" s="6" t="str">
        <f>IF(A1786="","",LOWER(TEXT(A1786,"[$-es-ES]mmmm"))&amp;" "&amp;YEAR(A1786))</f>
        <v/>
      </c>
      <c r="G1786" s="8"/>
    </row>
    <row r="1787" spans="1:7">
      <c r="A1787" s="7"/>
      <c r="B1787" s="6" t="str">
        <f>IF(A1787="","",LOWER(TEXT(A1787,"[$-es-ES]mmmm"))&amp;" "&amp;YEAR(A1787))</f>
        <v/>
      </c>
      <c r="G1787" s="8"/>
    </row>
    <row r="1788" spans="1:7">
      <c r="A1788" s="7"/>
      <c r="B1788" s="6" t="str">
        <f>IF(A1788="","",LOWER(TEXT(A1788,"[$-es-ES]mmmm"))&amp;" "&amp;YEAR(A1788))</f>
        <v/>
      </c>
      <c r="G1788" s="8"/>
    </row>
    <row r="1789" spans="1:7">
      <c r="A1789" s="7"/>
      <c r="B1789" s="6" t="str">
        <f>IF(A1789="","",LOWER(TEXT(A1789,"[$-es-ES]mmmm"))&amp;" "&amp;YEAR(A1789))</f>
        <v/>
      </c>
      <c r="G1789" s="8"/>
    </row>
    <row r="1790" spans="1:7">
      <c r="A1790" s="7"/>
      <c r="B1790" s="6" t="str">
        <f>IF(A1790="","",LOWER(TEXT(A1790,"[$-es-ES]mmmm"))&amp;" "&amp;YEAR(A1790))</f>
        <v/>
      </c>
      <c r="G1790" s="8"/>
    </row>
    <row r="1791" spans="1:7">
      <c r="A1791" s="7"/>
      <c r="B1791" s="6" t="str">
        <f>IF(A1791="","",LOWER(TEXT(A1791,"[$-es-ES]mmmm"))&amp;" "&amp;YEAR(A1791))</f>
        <v/>
      </c>
      <c r="G1791" s="8"/>
    </row>
    <row r="1792" spans="1:7">
      <c r="A1792" s="7"/>
      <c r="B1792" s="6" t="str">
        <f>IF(A1792="","",LOWER(TEXT(A1792,"[$-es-ES]mmmm"))&amp;" "&amp;YEAR(A1792))</f>
        <v/>
      </c>
      <c r="G1792" s="8"/>
    </row>
    <row r="1793" spans="1:7">
      <c r="A1793" s="7"/>
      <c r="B1793" s="6" t="str">
        <f>IF(A1793="","",LOWER(TEXT(A1793,"[$-es-ES]mmmm"))&amp;" "&amp;YEAR(A1793))</f>
        <v/>
      </c>
      <c r="G1793" s="8"/>
    </row>
    <row r="1794" spans="1:7">
      <c r="A1794" s="7"/>
      <c r="B1794" s="6" t="str">
        <f>IF(A1794="","",LOWER(TEXT(A1794,"[$-es-ES]mmmm"))&amp;" "&amp;YEAR(A1794))</f>
        <v/>
      </c>
      <c r="G1794" s="8"/>
    </row>
    <row r="1795" spans="1:7">
      <c r="A1795" s="7"/>
      <c r="B1795" s="6" t="str">
        <f>IF(A1795="","",LOWER(TEXT(A1795,"[$-es-ES]mmmm"))&amp;" "&amp;YEAR(A1795))</f>
        <v/>
      </c>
      <c r="G1795" s="8"/>
    </row>
    <row r="1796" spans="1:7">
      <c r="A1796" s="7"/>
      <c r="B1796" s="6" t="str">
        <f>IF(A1796="","",LOWER(TEXT(A1796,"[$-es-ES]mmmm"))&amp;" "&amp;YEAR(A1796))</f>
        <v/>
      </c>
      <c r="G1796" s="8"/>
    </row>
    <row r="1797" spans="1:7">
      <c r="A1797" s="7"/>
      <c r="B1797" s="6" t="str">
        <f>IF(A1797="","",LOWER(TEXT(A1797,"[$-es-ES]mmmm"))&amp;" "&amp;YEAR(A1797))</f>
        <v/>
      </c>
      <c r="G1797" s="8"/>
    </row>
    <row r="1798" spans="1:7">
      <c r="A1798" s="7"/>
      <c r="B1798" s="6" t="str">
        <f>IF(A1798="","",LOWER(TEXT(A1798,"[$-es-ES]mmmm"))&amp;" "&amp;YEAR(A1798))</f>
        <v/>
      </c>
      <c r="G1798" s="8"/>
    </row>
    <row r="1799" spans="1:7">
      <c r="A1799" s="7"/>
      <c r="B1799" s="6" t="str">
        <f>IF(A1799="","",LOWER(TEXT(A1799,"[$-es-ES]mmmm"))&amp;" "&amp;YEAR(A1799))</f>
        <v/>
      </c>
      <c r="G1799" s="8"/>
    </row>
    <row r="1800" spans="1:7">
      <c r="A1800" s="7"/>
      <c r="B1800" s="6" t="str">
        <f>IF(A1800="","",LOWER(TEXT(A1800,"[$-es-ES]mmmm"))&amp;" "&amp;YEAR(A1800))</f>
        <v/>
      </c>
      <c r="G1800" s="8"/>
    </row>
    <row r="1801" spans="1:7">
      <c r="A1801" s="7"/>
      <c r="B1801" s="6" t="str">
        <f>IF(A1801="","",LOWER(TEXT(A1801,"[$-es-ES]mmmm"))&amp;" "&amp;YEAR(A1801))</f>
        <v/>
      </c>
      <c r="G1801" s="8"/>
    </row>
    <row r="1802" spans="1:7">
      <c r="A1802" s="7"/>
      <c r="B1802" s="6" t="str">
        <f>IF(A1802="","",LOWER(TEXT(A1802,"[$-es-ES]mmmm"))&amp;" "&amp;YEAR(A1802))</f>
        <v/>
      </c>
      <c r="G1802" s="8"/>
    </row>
    <row r="1803" spans="1:7">
      <c r="A1803" s="7"/>
      <c r="B1803" s="6" t="str">
        <f>IF(A1803="","",LOWER(TEXT(A1803,"[$-es-ES]mmmm"))&amp;" "&amp;YEAR(A1803))</f>
        <v/>
      </c>
      <c r="G1803" s="8"/>
    </row>
    <row r="1804" spans="1:7">
      <c r="A1804" s="7"/>
      <c r="B1804" s="6" t="str">
        <f>IF(A1804="","",LOWER(TEXT(A1804,"[$-es-ES]mmmm"))&amp;" "&amp;YEAR(A1804))</f>
        <v/>
      </c>
      <c r="G1804" s="8"/>
    </row>
    <row r="1805" spans="1:7">
      <c r="A1805" s="7"/>
      <c r="B1805" s="6" t="str">
        <f>IF(A1805="","",LOWER(TEXT(A1805,"[$-es-ES]mmmm"))&amp;" "&amp;YEAR(A1805))</f>
        <v/>
      </c>
      <c r="G1805" s="8"/>
    </row>
    <row r="1806" spans="1:7">
      <c r="A1806" s="7"/>
      <c r="B1806" s="6" t="str">
        <f>IF(A1806="","",LOWER(TEXT(A1806,"[$-es-ES]mmmm"))&amp;" "&amp;YEAR(A1806))</f>
        <v/>
      </c>
      <c r="G1806" s="8"/>
    </row>
    <row r="1807" spans="1:7">
      <c r="A1807" s="7"/>
      <c r="B1807" s="6" t="str">
        <f>IF(A1807="","",LOWER(TEXT(A1807,"[$-es-ES]mmmm"))&amp;" "&amp;YEAR(A1807))</f>
        <v/>
      </c>
      <c r="G1807" s="8"/>
    </row>
    <row r="1808" spans="1:7">
      <c r="A1808" s="7"/>
      <c r="B1808" s="6" t="str">
        <f>IF(A1808="","",LOWER(TEXT(A1808,"[$-es-ES]mmmm"))&amp;" "&amp;YEAR(A1808))</f>
        <v/>
      </c>
      <c r="G1808" s="8"/>
    </row>
    <row r="1809" spans="1:7">
      <c r="A1809" s="7"/>
      <c r="B1809" s="6" t="str">
        <f>IF(A1809="","",LOWER(TEXT(A1809,"[$-es-ES]mmmm"))&amp;" "&amp;YEAR(A1809))</f>
        <v/>
      </c>
      <c r="G1809" s="8"/>
    </row>
    <row r="1810" spans="1:7">
      <c r="A1810" s="7"/>
      <c r="B1810" s="6" t="str">
        <f>IF(A1810="","",LOWER(TEXT(A1810,"[$-es-ES]mmmm"))&amp;" "&amp;YEAR(A1810))</f>
        <v/>
      </c>
      <c r="G1810" s="8"/>
    </row>
    <row r="1811" spans="1:7">
      <c r="A1811" s="7"/>
      <c r="B1811" s="6" t="str">
        <f>IF(A1811="","",LOWER(TEXT(A1811,"[$-es-ES]mmmm"))&amp;" "&amp;YEAR(A1811))</f>
        <v/>
      </c>
      <c r="G1811" s="8"/>
    </row>
    <row r="1812" spans="1:7">
      <c r="A1812" s="7"/>
      <c r="B1812" s="6" t="str">
        <f>IF(A1812="","",LOWER(TEXT(A1812,"[$-es-ES]mmmm"))&amp;" "&amp;YEAR(A1812))</f>
        <v/>
      </c>
      <c r="G1812" s="8"/>
    </row>
    <row r="1813" spans="1:7">
      <c r="A1813" s="7"/>
      <c r="B1813" s="6" t="str">
        <f>IF(A1813="","",LOWER(TEXT(A1813,"[$-es-ES]mmmm"))&amp;" "&amp;YEAR(A1813))</f>
        <v/>
      </c>
      <c r="G1813" s="8"/>
    </row>
    <row r="1814" spans="1:7">
      <c r="A1814" s="7"/>
      <c r="B1814" s="6" t="str">
        <f>IF(A1814="","",LOWER(TEXT(A1814,"[$-es-ES]mmmm"))&amp;" "&amp;YEAR(A1814))</f>
        <v/>
      </c>
      <c r="G1814" s="8"/>
    </row>
    <row r="1815" spans="1:7">
      <c r="A1815" s="7"/>
      <c r="B1815" s="6" t="str">
        <f>IF(A1815="","",LOWER(TEXT(A1815,"[$-es-ES]mmmm"))&amp;" "&amp;YEAR(A1815))</f>
        <v/>
      </c>
      <c r="G1815" s="8"/>
    </row>
    <row r="1816" spans="1:7">
      <c r="A1816" s="7"/>
      <c r="B1816" s="6" t="str">
        <f>IF(A1816="","",LOWER(TEXT(A1816,"[$-es-ES]mmmm"))&amp;" "&amp;YEAR(A1816))</f>
        <v/>
      </c>
      <c r="G1816" s="8"/>
    </row>
    <row r="1817" spans="1:7">
      <c r="A1817" s="7"/>
      <c r="B1817" s="6" t="str">
        <f>IF(A1817="","",LOWER(TEXT(A1817,"[$-es-ES]mmmm"))&amp;" "&amp;YEAR(A1817))</f>
        <v/>
      </c>
      <c r="G1817" s="8"/>
    </row>
    <row r="1818" spans="1:7">
      <c r="A1818" s="7"/>
      <c r="B1818" s="6" t="str">
        <f>IF(A1818="","",LOWER(TEXT(A1818,"[$-es-ES]mmmm"))&amp;" "&amp;YEAR(A1818))</f>
        <v/>
      </c>
      <c r="G1818" s="8"/>
    </row>
    <row r="1819" spans="1:7">
      <c r="A1819" s="7"/>
      <c r="B1819" s="6" t="str">
        <f>IF(A1819="","",LOWER(TEXT(A1819,"[$-es-ES]mmmm"))&amp;" "&amp;YEAR(A1819))</f>
        <v/>
      </c>
      <c r="G1819" s="8"/>
    </row>
    <row r="1820" spans="1:7">
      <c r="A1820" s="7"/>
      <c r="B1820" s="6" t="str">
        <f>IF(A1820="","",LOWER(TEXT(A1820,"[$-es-ES]mmmm"))&amp;" "&amp;YEAR(A1820))</f>
        <v/>
      </c>
      <c r="G1820" s="8"/>
    </row>
    <row r="1821" spans="1:7">
      <c r="A1821" s="7"/>
      <c r="B1821" s="6" t="str">
        <f>IF(A1821="","",LOWER(TEXT(A1821,"[$-es-ES]mmmm"))&amp;" "&amp;YEAR(A1821))</f>
        <v/>
      </c>
      <c r="G1821" s="8"/>
    </row>
    <row r="1822" spans="1:7">
      <c r="A1822" s="7"/>
      <c r="B1822" s="6" t="str">
        <f>IF(A1822="","",LOWER(TEXT(A1822,"[$-es-ES]mmmm"))&amp;" "&amp;YEAR(A1822))</f>
        <v/>
      </c>
      <c r="G1822" s="8"/>
    </row>
    <row r="1823" spans="1:7">
      <c r="A1823" s="7"/>
      <c r="B1823" s="6" t="str">
        <f>IF(A1823="","",LOWER(TEXT(A1823,"[$-es-ES]mmmm"))&amp;" "&amp;YEAR(A1823))</f>
        <v/>
      </c>
      <c r="G1823" s="8"/>
    </row>
    <row r="1824" spans="1:7">
      <c r="A1824" s="7"/>
      <c r="B1824" s="6" t="str">
        <f>IF(A1824="","",LOWER(TEXT(A1824,"[$-es-ES]mmmm"))&amp;" "&amp;YEAR(A1824))</f>
        <v/>
      </c>
      <c r="G1824" s="8"/>
    </row>
    <row r="1825" spans="1:7">
      <c r="A1825" s="7"/>
      <c r="B1825" s="6" t="str">
        <f>IF(A1825="","",LOWER(TEXT(A1825,"[$-es-ES]mmmm"))&amp;" "&amp;YEAR(A1825))</f>
        <v/>
      </c>
      <c r="G1825" s="8"/>
    </row>
    <row r="1826" spans="1:7">
      <c r="A1826" s="7"/>
      <c r="B1826" s="6" t="str">
        <f>IF(A1826="","",LOWER(TEXT(A1826,"[$-es-ES]mmmm"))&amp;" "&amp;YEAR(A1826))</f>
        <v/>
      </c>
      <c r="G1826" s="8"/>
    </row>
    <row r="1827" spans="1:7">
      <c r="A1827" s="7"/>
      <c r="B1827" s="6" t="str">
        <f>IF(A1827="","",LOWER(TEXT(A1827,"[$-es-ES]mmmm"))&amp;" "&amp;YEAR(A1827))</f>
        <v/>
      </c>
      <c r="G1827" s="8"/>
    </row>
    <row r="1828" spans="1:7">
      <c r="A1828" s="7"/>
      <c r="B1828" s="6" t="str">
        <f>IF(A1828="","",LOWER(TEXT(A1828,"[$-es-ES]mmmm"))&amp;" "&amp;YEAR(A1828))</f>
        <v/>
      </c>
      <c r="G1828" s="8"/>
    </row>
    <row r="1829" spans="1:7">
      <c r="A1829" s="7"/>
      <c r="B1829" s="6" t="str">
        <f>IF(A1829="","",LOWER(TEXT(A1829,"[$-es-ES]mmmm"))&amp;" "&amp;YEAR(A1829))</f>
        <v/>
      </c>
      <c r="G1829" s="8"/>
    </row>
    <row r="1830" spans="1:7">
      <c r="A1830" s="7"/>
      <c r="B1830" s="6" t="str">
        <f>IF(A1830="","",LOWER(TEXT(A1830,"[$-es-ES]mmmm"))&amp;" "&amp;YEAR(A1830))</f>
        <v/>
      </c>
      <c r="G1830" s="8"/>
    </row>
    <row r="1831" spans="1:7">
      <c r="A1831" s="7"/>
      <c r="B1831" s="6" t="str">
        <f>IF(A1831="","",LOWER(TEXT(A1831,"[$-es-ES]mmmm"))&amp;" "&amp;YEAR(A1831))</f>
        <v/>
      </c>
      <c r="G1831" s="8"/>
    </row>
    <row r="1832" spans="1:7">
      <c r="A1832" s="7"/>
      <c r="B1832" s="6" t="str">
        <f>IF(A1832="","",LOWER(TEXT(A1832,"[$-es-ES]mmmm"))&amp;" "&amp;YEAR(A1832))</f>
        <v/>
      </c>
      <c r="G1832" s="8"/>
    </row>
    <row r="1833" spans="1:7">
      <c r="A1833" s="7"/>
      <c r="B1833" s="6" t="str">
        <f>IF(A1833="","",LOWER(TEXT(A1833,"[$-es-ES]mmmm"))&amp;" "&amp;YEAR(A1833))</f>
        <v/>
      </c>
      <c r="G1833" s="8"/>
    </row>
    <row r="1834" spans="1:7">
      <c r="A1834" s="7"/>
      <c r="B1834" s="6" t="str">
        <f>IF(A1834="","",LOWER(TEXT(A1834,"[$-es-ES]mmmm"))&amp;" "&amp;YEAR(A1834))</f>
        <v/>
      </c>
      <c r="G1834" s="8"/>
    </row>
    <row r="1835" spans="1:7">
      <c r="A1835" s="7"/>
      <c r="B1835" s="6" t="str">
        <f>IF(A1835="","",LOWER(TEXT(A1835,"[$-es-ES]mmmm"))&amp;" "&amp;YEAR(A1835))</f>
        <v/>
      </c>
      <c r="G1835" s="8"/>
    </row>
    <row r="1836" spans="1:7">
      <c r="A1836" s="7"/>
      <c r="B1836" s="6" t="str">
        <f>IF(A1836="","",LOWER(TEXT(A1836,"[$-es-ES]mmmm"))&amp;" "&amp;YEAR(A1836))</f>
        <v/>
      </c>
      <c r="G1836" s="8"/>
    </row>
    <row r="1837" spans="1:7">
      <c r="A1837" s="7"/>
      <c r="B1837" s="6" t="str">
        <f>IF(A1837="","",LOWER(TEXT(A1837,"[$-es-ES]mmmm"))&amp;" "&amp;YEAR(A1837))</f>
        <v/>
      </c>
      <c r="G1837" s="8"/>
    </row>
    <row r="1838" spans="1:7">
      <c r="A1838" s="7"/>
      <c r="B1838" s="6" t="str">
        <f>IF(A1838="","",LOWER(TEXT(A1838,"[$-es-ES]mmmm"))&amp;" "&amp;YEAR(A1838))</f>
        <v/>
      </c>
      <c r="G1838" s="8"/>
    </row>
    <row r="1839" spans="1:7">
      <c r="A1839" s="7"/>
      <c r="B1839" s="6" t="str">
        <f>IF(A1839="","",LOWER(TEXT(A1839,"[$-es-ES]mmmm"))&amp;" "&amp;YEAR(A1839))</f>
        <v/>
      </c>
      <c r="G1839" s="8"/>
    </row>
    <row r="1840" spans="1:7">
      <c r="A1840" s="7"/>
      <c r="B1840" s="6" t="str">
        <f>IF(A1840="","",LOWER(TEXT(A1840,"[$-es-ES]mmmm"))&amp;" "&amp;YEAR(A1840))</f>
        <v/>
      </c>
      <c r="G1840" s="8"/>
    </row>
    <row r="1841" spans="1:7">
      <c r="A1841" s="7"/>
      <c r="B1841" s="6" t="str">
        <f>IF(A1841="","",LOWER(TEXT(A1841,"[$-es-ES]mmmm"))&amp;" "&amp;YEAR(A1841))</f>
        <v/>
      </c>
      <c r="G1841" s="8"/>
    </row>
    <row r="1842" spans="1:7">
      <c r="A1842" s="7"/>
      <c r="B1842" s="6" t="str">
        <f>IF(A1842="","",LOWER(TEXT(A1842,"[$-es-ES]mmmm"))&amp;" "&amp;YEAR(A1842))</f>
        <v/>
      </c>
      <c r="G1842" s="8"/>
    </row>
    <row r="1843" spans="1:7">
      <c r="A1843" s="7"/>
      <c r="B1843" s="6" t="str">
        <f>IF(A1843="","",LOWER(TEXT(A1843,"[$-es-ES]mmmm"))&amp;" "&amp;YEAR(A1843))</f>
        <v/>
      </c>
      <c r="G1843" s="8"/>
    </row>
    <row r="1844" spans="1:7">
      <c r="A1844" s="7"/>
      <c r="B1844" s="6" t="str">
        <f>IF(A1844="","",LOWER(TEXT(A1844,"[$-es-ES]mmmm"))&amp;" "&amp;YEAR(A1844))</f>
        <v/>
      </c>
      <c r="G1844" s="8"/>
    </row>
    <row r="1845" spans="1:7">
      <c r="A1845" s="7"/>
      <c r="B1845" s="6" t="str">
        <f>IF(A1845="","",LOWER(TEXT(A1845,"[$-es-ES]mmmm"))&amp;" "&amp;YEAR(A1845))</f>
        <v/>
      </c>
      <c r="G1845" s="8"/>
    </row>
    <row r="1846" spans="1:7">
      <c r="A1846" s="7"/>
      <c r="B1846" s="6" t="str">
        <f>IF(A1846="","",LOWER(TEXT(A1846,"[$-es-ES]mmmm"))&amp;" "&amp;YEAR(A1846))</f>
        <v/>
      </c>
      <c r="G1846" s="8"/>
    </row>
    <row r="1847" spans="1:7">
      <c r="A1847" s="7"/>
      <c r="B1847" s="6" t="str">
        <f>IF(A1847="","",LOWER(TEXT(A1847,"[$-es-ES]mmmm"))&amp;" "&amp;YEAR(A1847))</f>
        <v/>
      </c>
      <c r="G1847" s="8"/>
    </row>
    <row r="1848" spans="1:7">
      <c r="A1848" s="7"/>
      <c r="B1848" s="6" t="str">
        <f>IF(A1848="","",LOWER(TEXT(A1848,"[$-es-ES]mmmm"))&amp;" "&amp;YEAR(A1848))</f>
        <v/>
      </c>
      <c r="G1848" s="8"/>
    </row>
    <row r="1849" spans="1:7">
      <c r="A1849" s="7"/>
      <c r="B1849" s="6" t="str">
        <f>IF(A1849="","",LOWER(TEXT(A1849,"[$-es-ES]mmmm"))&amp;" "&amp;YEAR(A1849))</f>
        <v/>
      </c>
      <c r="G1849" s="8"/>
    </row>
    <row r="1850" spans="1:7">
      <c r="A1850" s="7"/>
      <c r="B1850" s="6" t="str">
        <f>IF(A1850="","",LOWER(TEXT(A1850,"[$-es-ES]mmmm"))&amp;" "&amp;YEAR(A1850))</f>
        <v/>
      </c>
      <c r="G1850" s="8"/>
    </row>
    <row r="1851" spans="1:7">
      <c r="A1851" s="7"/>
      <c r="B1851" s="6" t="str">
        <f>IF(A1851="","",LOWER(TEXT(A1851,"[$-es-ES]mmmm"))&amp;" "&amp;YEAR(A1851))</f>
        <v/>
      </c>
      <c r="G1851" s="8"/>
    </row>
    <row r="1852" spans="1:7">
      <c r="A1852" s="7"/>
      <c r="B1852" s="6" t="str">
        <f>IF(A1852="","",LOWER(TEXT(A1852,"[$-es-ES]mmmm"))&amp;" "&amp;YEAR(A1852))</f>
        <v/>
      </c>
      <c r="G1852" s="8"/>
    </row>
    <row r="1853" spans="1:7">
      <c r="A1853" s="7"/>
      <c r="B1853" s="6" t="str">
        <f>IF(A1853="","",LOWER(TEXT(A1853,"[$-es-ES]mmmm"))&amp;" "&amp;YEAR(A1853))</f>
        <v/>
      </c>
      <c r="G1853" s="8"/>
    </row>
    <row r="1854" spans="1:7">
      <c r="A1854" s="7"/>
      <c r="B1854" s="6" t="str">
        <f>IF(A1854="","",LOWER(TEXT(A1854,"[$-es-ES]mmmm"))&amp;" "&amp;YEAR(A1854))</f>
        <v/>
      </c>
      <c r="G1854" s="8"/>
    </row>
    <row r="1855" spans="1:7">
      <c r="A1855" s="7"/>
      <c r="B1855" s="6" t="str">
        <f>IF(A1855="","",LOWER(TEXT(A1855,"[$-es-ES]mmmm"))&amp;" "&amp;YEAR(A1855))</f>
        <v/>
      </c>
      <c r="G1855" s="8"/>
    </row>
    <row r="1856" spans="1:7">
      <c r="A1856" s="7"/>
      <c r="B1856" s="6" t="str">
        <f>IF(A1856="","",LOWER(TEXT(A1856,"[$-es-ES]mmmm"))&amp;" "&amp;YEAR(A1856))</f>
        <v/>
      </c>
      <c r="G1856" s="8"/>
    </row>
    <row r="1857" spans="1:7">
      <c r="A1857" s="7"/>
      <c r="B1857" s="6" t="str">
        <f>IF(A1857="","",LOWER(TEXT(A1857,"[$-es-ES]mmmm"))&amp;" "&amp;YEAR(A1857))</f>
        <v/>
      </c>
      <c r="G1857" s="8"/>
    </row>
    <row r="1858" spans="1:7">
      <c r="A1858" s="7"/>
      <c r="B1858" s="6" t="str">
        <f>IF(A1858="","",LOWER(TEXT(A1858,"[$-es-ES]mmmm"))&amp;" "&amp;YEAR(A1858))</f>
        <v/>
      </c>
      <c r="G1858" s="8"/>
    </row>
    <row r="1859" spans="1:7">
      <c r="A1859" s="7"/>
      <c r="B1859" s="6" t="str">
        <f>IF(A1859="","",LOWER(TEXT(A1859,"[$-es-ES]mmmm"))&amp;" "&amp;YEAR(A1859))</f>
        <v/>
      </c>
      <c r="G1859" s="8"/>
    </row>
    <row r="1860" spans="1:7">
      <c r="A1860" s="7"/>
      <c r="B1860" s="6" t="str">
        <f>IF(A1860="","",LOWER(TEXT(A1860,"[$-es-ES]mmmm"))&amp;" "&amp;YEAR(A1860))</f>
        <v/>
      </c>
      <c r="G1860" s="8"/>
    </row>
    <row r="1861" spans="1:7">
      <c r="A1861" s="7"/>
      <c r="B1861" s="6" t="str">
        <f>IF(A1861="","",LOWER(TEXT(A1861,"[$-es-ES]mmmm"))&amp;" "&amp;YEAR(A1861))</f>
        <v/>
      </c>
      <c r="G1861" s="8"/>
    </row>
    <row r="1862" spans="1:7">
      <c r="A1862" s="7"/>
      <c r="B1862" s="6" t="str">
        <f>IF(A1862="","",LOWER(TEXT(A1862,"[$-es-ES]mmmm"))&amp;" "&amp;YEAR(A1862))</f>
        <v/>
      </c>
      <c r="G1862" s="8"/>
    </row>
    <row r="1863" spans="1:7">
      <c r="A1863" s="7"/>
      <c r="B1863" s="6" t="str">
        <f>IF(A1863="","",LOWER(TEXT(A1863,"[$-es-ES]mmmm"))&amp;" "&amp;YEAR(A1863))</f>
        <v/>
      </c>
      <c r="G1863" s="8"/>
    </row>
    <row r="1864" spans="1:7">
      <c r="A1864" s="7"/>
      <c r="B1864" s="6" t="str">
        <f>IF(A1864="","",LOWER(TEXT(A1864,"[$-es-ES]mmmm"))&amp;" "&amp;YEAR(A1864))</f>
        <v/>
      </c>
      <c r="G1864" s="8"/>
    </row>
    <row r="1865" spans="1:7">
      <c r="A1865" s="7"/>
      <c r="B1865" s="6" t="str">
        <f>IF(A1865="","",LOWER(TEXT(A1865,"[$-es-ES]mmmm"))&amp;" "&amp;YEAR(A1865))</f>
        <v/>
      </c>
      <c r="G1865" s="8"/>
    </row>
    <row r="1866" spans="1:7">
      <c r="A1866" s="7"/>
      <c r="B1866" s="6" t="str">
        <f>IF(A1866="","",LOWER(TEXT(A1866,"[$-es-ES]mmmm"))&amp;" "&amp;YEAR(A1866))</f>
        <v/>
      </c>
      <c r="G1866" s="8"/>
    </row>
    <row r="1867" spans="1:7">
      <c r="A1867" s="7"/>
      <c r="B1867" s="6" t="str">
        <f>IF(A1867="","",LOWER(TEXT(A1867,"[$-es-ES]mmmm"))&amp;" "&amp;YEAR(A1867))</f>
        <v/>
      </c>
      <c r="G1867" s="8"/>
    </row>
    <row r="1868" spans="1:7">
      <c r="A1868" s="7"/>
      <c r="B1868" s="6" t="str">
        <f>IF(A1868="","",LOWER(TEXT(A1868,"[$-es-ES]mmmm"))&amp;" "&amp;YEAR(A1868))</f>
        <v/>
      </c>
      <c r="G1868" s="8"/>
    </row>
    <row r="1869" spans="1:7">
      <c r="A1869" s="7"/>
      <c r="B1869" s="6" t="str">
        <f>IF(A1869="","",LOWER(TEXT(A1869,"[$-es-ES]mmmm"))&amp;" "&amp;YEAR(A1869))</f>
        <v/>
      </c>
      <c r="G1869" s="8"/>
    </row>
    <row r="1870" spans="1:7">
      <c r="A1870" s="7"/>
      <c r="B1870" s="6" t="str">
        <f>IF(A1870="","",LOWER(TEXT(A1870,"[$-es-ES]mmmm"))&amp;" "&amp;YEAR(A1870))</f>
        <v/>
      </c>
      <c r="G1870" s="8"/>
    </row>
    <row r="1871" spans="1:7">
      <c r="A1871" s="7"/>
      <c r="B1871" s="6" t="str">
        <f>IF(A1871="","",LOWER(TEXT(A1871,"[$-es-ES]mmmm"))&amp;" "&amp;YEAR(A1871))</f>
        <v/>
      </c>
      <c r="G1871" s="8"/>
    </row>
    <row r="1872" spans="1:7">
      <c r="A1872" s="7"/>
      <c r="B1872" s="6" t="str">
        <f>IF(A1872="","",LOWER(TEXT(A1872,"[$-es-ES]mmmm"))&amp;" "&amp;YEAR(A1872))</f>
        <v/>
      </c>
      <c r="G1872" s="8"/>
    </row>
    <row r="1873" spans="1:7">
      <c r="A1873" s="7"/>
      <c r="B1873" s="6" t="str">
        <f>IF(A1873="","",LOWER(TEXT(A1873,"[$-es-ES]mmmm"))&amp;" "&amp;YEAR(A1873))</f>
        <v/>
      </c>
      <c r="G1873" s="8"/>
    </row>
    <row r="1874" spans="1:7">
      <c r="A1874" s="7"/>
      <c r="B1874" s="6" t="str">
        <f>IF(A1874="","",LOWER(TEXT(A1874,"[$-es-ES]mmmm"))&amp;" "&amp;YEAR(A1874))</f>
        <v/>
      </c>
      <c r="G1874" s="8"/>
    </row>
    <row r="1875" spans="1:7">
      <c r="A1875" s="7"/>
      <c r="B1875" s="6" t="str">
        <f>IF(A1875="","",LOWER(TEXT(A1875,"[$-es-ES]mmmm"))&amp;" "&amp;YEAR(A1875))</f>
        <v/>
      </c>
      <c r="G1875" s="8"/>
    </row>
    <row r="1876" spans="1:7">
      <c r="A1876" s="7"/>
      <c r="B1876" s="6" t="str">
        <f>IF(A1876="","",LOWER(TEXT(A1876,"[$-es-ES]mmmm"))&amp;" "&amp;YEAR(A1876))</f>
        <v/>
      </c>
      <c r="G1876" s="8"/>
    </row>
    <row r="1877" spans="1:7">
      <c r="A1877" s="7"/>
      <c r="B1877" s="6" t="str">
        <f>IF(A1877="","",LOWER(TEXT(A1877,"[$-es-ES]mmmm"))&amp;" "&amp;YEAR(A1877))</f>
        <v/>
      </c>
      <c r="G1877" s="8"/>
    </row>
    <row r="1878" spans="1:7">
      <c r="A1878" s="7"/>
      <c r="B1878" s="6" t="str">
        <f>IF(A1878="","",LOWER(TEXT(A1878,"[$-es-ES]mmmm"))&amp;" "&amp;YEAR(A1878))</f>
        <v/>
      </c>
      <c r="G1878" s="8"/>
    </row>
    <row r="1879" spans="1:7">
      <c r="A1879" s="7"/>
      <c r="B1879" s="6" t="str">
        <f>IF(A1879="","",LOWER(TEXT(A1879,"[$-es-ES]mmmm"))&amp;" "&amp;YEAR(A1879))</f>
        <v/>
      </c>
      <c r="G1879" s="8"/>
    </row>
    <row r="1880" spans="1:7">
      <c r="A1880" s="7"/>
      <c r="B1880" s="6" t="str">
        <f>IF(A1880="","",LOWER(TEXT(A1880,"[$-es-ES]mmmm"))&amp;" "&amp;YEAR(A1880))</f>
        <v/>
      </c>
      <c r="G1880" s="8"/>
    </row>
    <row r="1881" spans="1:7">
      <c r="A1881" s="7"/>
      <c r="B1881" s="6" t="str">
        <f>IF(A1881="","",LOWER(TEXT(A1881,"[$-es-ES]mmmm"))&amp;" "&amp;YEAR(A1881))</f>
        <v/>
      </c>
      <c r="G1881" s="8"/>
    </row>
    <row r="1882" spans="1:7">
      <c r="A1882" s="7"/>
      <c r="B1882" s="6" t="str">
        <f>IF(A1882="","",LOWER(TEXT(A1882,"[$-es-ES]mmmm"))&amp;" "&amp;YEAR(A1882))</f>
        <v/>
      </c>
      <c r="G1882" s="8"/>
    </row>
    <row r="1883" spans="1:7">
      <c r="A1883" s="7"/>
      <c r="B1883" s="6" t="str">
        <f>IF(A1883="","",LOWER(TEXT(A1883,"[$-es-ES]mmmm"))&amp;" "&amp;YEAR(A1883))</f>
        <v/>
      </c>
      <c r="G1883" s="8"/>
    </row>
    <row r="1884" spans="1:7">
      <c r="A1884" s="7"/>
      <c r="B1884" s="6" t="str">
        <f>IF(A1884="","",LOWER(TEXT(A1884,"[$-es-ES]mmmm"))&amp;" "&amp;YEAR(A1884))</f>
        <v/>
      </c>
      <c r="G1884" s="8"/>
    </row>
    <row r="1885" spans="1:7">
      <c r="A1885" s="7"/>
      <c r="B1885" s="6" t="str">
        <f>IF(A1885="","",LOWER(TEXT(A1885,"[$-es-ES]mmmm"))&amp;" "&amp;YEAR(A1885))</f>
        <v/>
      </c>
      <c r="G1885" s="8"/>
    </row>
    <row r="1886" spans="1:7">
      <c r="A1886" s="7"/>
      <c r="B1886" s="6" t="str">
        <f>IF(A1886="","",LOWER(TEXT(A1886,"[$-es-ES]mmmm"))&amp;" "&amp;YEAR(A1886))</f>
        <v/>
      </c>
      <c r="G1886" s="8"/>
    </row>
    <row r="1887" spans="1:7">
      <c r="A1887" s="7"/>
      <c r="B1887" s="6" t="str">
        <f>IF(A1887="","",LOWER(TEXT(A1887,"[$-es-ES]mmmm"))&amp;" "&amp;YEAR(A1887))</f>
        <v/>
      </c>
      <c r="G1887" s="8"/>
    </row>
    <row r="1888" spans="1:7">
      <c r="A1888" s="7"/>
      <c r="B1888" s="6" t="str">
        <f>IF(A1888="","",LOWER(TEXT(A1888,"[$-es-ES]mmmm"))&amp;" "&amp;YEAR(A1888))</f>
        <v/>
      </c>
      <c r="G1888" s="8"/>
    </row>
    <row r="1889" spans="1:7">
      <c r="A1889" s="7"/>
      <c r="B1889" s="6" t="str">
        <f>IF(A1889="","",LOWER(TEXT(A1889,"[$-es-ES]mmmm"))&amp;" "&amp;YEAR(A1889))</f>
        <v/>
      </c>
      <c r="G1889" s="8"/>
    </row>
    <row r="1890" spans="1:7">
      <c r="A1890" s="7"/>
      <c r="B1890" s="6" t="str">
        <f>IF(A1890="","",LOWER(TEXT(A1890,"[$-es-ES]mmmm"))&amp;" "&amp;YEAR(A1890))</f>
        <v/>
      </c>
      <c r="G1890" s="8"/>
    </row>
    <row r="1891" spans="1:7">
      <c r="A1891" s="7"/>
      <c r="B1891" s="6" t="str">
        <f>IF(A1891="","",LOWER(TEXT(A1891,"[$-es-ES]mmmm"))&amp;" "&amp;YEAR(A1891))</f>
        <v/>
      </c>
      <c r="G1891" s="8"/>
    </row>
    <row r="1892" spans="1:7">
      <c r="A1892" s="7"/>
      <c r="B1892" s="6" t="str">
        <f>IF(A1892="","",LOWER(TEXT(A1892,"[$-es-ES]mmmm"))&amp;" "&amp;YEAR(A1892))</f>
        <v/>
      </c>
      <c r="G1892" s="8"/>
    </row>
    <row r="1893" spans="1:7">
      <c r="A1893" s="7"/>
      <c r="B1893" s="6" t="str">
        <f>IF(A1893="","",LOWER(TEXT(A1893,"[$-es-ES]mmmm"))&amp;" "&amp;YEAR(A1893))</f>
        <v/>
      </c>
      <c r="G1893" s="8"/>
    </row>
    <row r="1894" spans="1:7">
      <c r="A1894" s="7"/>
      <c r="B1894" s="6" t="str">
        <f>IF(A1894="","",LOWER(TEXT(A1894,"[$-es-ES]mmmm"))&amp;" "&amp;YEAR(A1894))</f>
        <v/>
      </c>
      <c r="G1894" s="8"/>
    </row>
    <row r="1895" spans="1:7">
      <c r="A1895" s="7"/>
      <c r="B1895" s="6" t="str">
        <f>IF(A1895="","",LOWER(TEXT(A1895,"[$-es-ES]mmmm"))&amp;" "&amp;YEAR(A1895))</f>
        <v/>
      </c>
      <c r="G1895" s="8"/>
    </row>
    <row r="1896" spans="1:7">
      <c r="A1896" s="7"/>
      <c r="B1896" s="6" t="str">
        <f>IF(A1896="","",LOWER(TEXT(A1896,"[$-es-ES]mmmm"))&amp;" "&amp;YEAR(A1896))</f>
        <v/>
      </c>
      <c r="G1896" s="8"/>
    </row>
    <row r="1897" spans="1:7">
      <c r="A1897" s="7"/>
      <c r="B1897" s="6" t="str">
        <f>IF(A1897="","",LOWER(TEXT(A1897,"[$-es-ES]mmmm"))&amp;" "&amp;YEAR(A1897))</f>
        <v/>
      </c>
      <c r="G1897" s="8"/>
    </row>
    <row r="1898" spans="1:7">
      <c r="A1898" s="7"/>
      <c r="B1898" s="6" t="str">
        <f>IF(A1898="","",LOWER(TEXT(A1898,"[$-es-ES]mmmm"))&amp;" "&amp;YEAR(A1898))</f>
        <v/>
      </c>
      <c r="G1898" s="8"/>
    </row>
    <row r="1899" spans="1:7">
      <c r="A1899" s="7"/>
      <c r="B1899" s="6" t="str">
        <f>IF(A1899="","",LOWER(TEXT(A1899,"[$-es-ES]mmmm"))&amp;" "&amp;YEAR(A1899))</f>
        <v/>
      </c>
      <c r="G1899" s="8"/>
    </row>
    <row r="1900" spans="1:7">
      <c r="A1900" s="7"/>
      <c r="B1900" s="6" t="str">
        <f>IF(A1900="","",LOWER(TEXT(A1900,"[$-es-ES]mmmm"))&amp;" "&amp;YEAR(A1900))</f>
        <v/>
      </c>
      <c r="G1900" s="8"/>
    </row>
    <row r="1901" spans="1:7">
      <c r="A1901" s="7"/>
      <c r="B1901" s="6" t="str">
        <f>IF(A1901="","",LOWER(TEXT(A1901,"[$-es-ES]mmmm"))&amp;" "&amp;YEAR(A1901))</f>
        <v/>
      </c>
      <c r="G1901" s="8"/>
    </row>
    <row r="1902" spans="1:7">
      <c r="A1902" s="7"/>
      <c r="B1902" s="6" t="str">
        <f>IF(A1902="","",LOWER(TEXT(A1902,"[$-es-ES]mmmm"))&amp;" "&amp;YEAR(A1902))</f>
        <v/>
      </c>
      <c r="G1902" s="8"/>
    </row>
    <row r="1903" spans="1:7">
      <c r="A1903" s="7"/>
      <c r="B1903" s="6" t="str">
        <f>IF(A1903="","",LOWER(TEXT(A1903,"[$-es-ES]mmmm"))&amp;" "&amp;YEAR(A1903))</f>
        <v/>
      </c>
      <c r="G1903" s="8"/>
    </row>
    <row r="1904" spans="1:7">
      <c r="A1904" s="7"/>
      <c r="B1904" s="6" t="str">
        <f>IF(A1904="","",LOWER(TEXT(A1904,"[$-es-ES]mmmm"))&amp;" "&amp;YEAR(A1904))</f>
        <v/>
      </c>
      <c r="G1904" s="8"/>
    </row>
    <row r="1905" spans="1:7">
      <c r="A1905" s="7"/>
      <c r="B1905" s="6" t="str">
        <f>IF(A1905="","",LOWER(TEXT(A1905,"[$-es-ES]mmmm"))&amp;" "&amp;YEAR(A1905))</f>
        <v/>
      </c>
      <c r="G1905" s="8"/>
    </row>
    <row r="1906" spans="1:7">
      <c r="A1906" s="7"/>
      <c r="B1906" s="6" t="str">
        <f>IF(A1906="","",LOWER(TEXT(A1906,"[$-es-ES]mmmm"))&amp;" "&amp;YEAR(A1906))</f>
        <v/>
      </c>
      <c r="G1906" s="8"/>
    </row>
    <row r="1907" spans="1:7">
      <c r="A1907" s="7"/>
      <c r="B1907" s="6" t="str">
        <f>IF(A1907="","",LOWER(TEXT(A1907,"[$-es-ES]mmmm"))&amp;" "&amp;YEAR(A1907))</f>
        <v/>
      </c>
      <c r="G1907" s="8"/>
    </row>
    <row r="1908" spans="1:7">
      <c r="A1908" s="7"/>
      <c r="B1908" s="6" t="str">
        <f>IF(A1908="","",LOWER(TEXT(A1908,"[$-es-ES]mmmm"))&amp;" "&amp;YEAR(A1908))</f>
        <v/>
      </c>
      <c r="G1908" s="8"/>
    </row>
    <row r="1909" spans="1:7">
      <c r="A1909" s="7"/>
      <c r="B1909" s="6" t="str">
        <f>IF(A1909="","",LOWER(TEXT(A1909,"[$-es-ES]mmmm"))&amp;" "&amp;YEAR(A1909))</f>
        <v/>
      </c>
      <c r="G1909" s="8"/>
    </row>
    <row r="1910" spans="1:7">
      <c r="A1910" s="7"/>
      <c r="B1910" s="6" t="str">
        <f>IF(A1910="","",LOWER(TEXT(A1910,"[$-es-ES]mmmm"))&amp;" "&amp;YEAR(A1910))</f>
        <v/>
      </c>
      <c r="G1910" s="8"/>
    </row>
    <row r="1911" spans="1:7">
      <c r="A1911" s="7"/>
      <c r="B1911" s="6" t="str">
        <f>IF(A1911="","",LOWER(TEXT(A1911,"[$-es-ES]mmmm"))&amp;" "&amp;YEAR(A1911))</f>
        <v/>
      </c>
      <c r="G1911" s="8"/>
    </row>
    <row r="1912" spans="1:7">
      <c r="A1912" s="7"/>
      <c r="B1912" s="6" t="str">
        <f>IF(A1912="","",LOWER(TEXT(A1912,"[$-es-ES]mmmm"))&amp;" "&amp;YEAR(A1912))</f>
        <v/>
      </c>
      <c r="G1912" s="8"/>
    </row>
    <row r="1913" spans="1:7">
      <c r="A1913" s="7"/>
      <c r="B1913" s="6" t="str">
        <f>IF(A1913="","",LOWER(TEXT(A1913,"[$-es-ES]mmmm"))&amp;" "&amp;YEAR(A1913))</f>
        <v/>
      </c>
      <c r="G1913" s="8"/>
    </row>
    <row r="1914" spans="1:7">
      <c r="A1914" s="7"/>
      <c r="B1914" s="6" t="str">
        <f>IF(A1914="","",LOWER(TEXT(A1914,"[$-es-ES]mmmm"))&amp;" "&amp;YEAR(A1914))</f>
        <v/>
      </c>
      <c r="G1914" s="8"/>
    </row>
    <row r="1915" spans="1:7">
      <c r="A1915" s="7"/>
      <c r="B1915" s="6" t="str">
        <f>IF(A1915="","",LOWER(TEXT(A1915,"[$-es-ES]mmmm"))&amp;" "&amp;YEAR(A1915))</f>
        <v/>
      </c>
      <c r="G1915" s="8"/>
    </row>
    <row r="1916" spans="1:7">
      <c r="A1916" s="7"/>
      <c r="B1916" s="6" t="str">
        <f>IF(A1916="","",LOWER(TEXT(A1916,"[$-es-ES]mmmm"))&amp;" "&amp;YEAR(A1916))</f>
        <v/>
      </c>
      <c r="G1916" s="8"/>
    </row>
    <row r="1917" spans="1:7">
      <c r="A1917" s="7"/>
      <c r="B1917" s="6" t="str">
        <f>IF(A1917="","",LOWER(TEXT(A1917,"[$-es-ES]mmmm"))&amp;" "&amp;YEAR(A1917))</f>
        <v/>
      </c>
      <c r="G1917" s="8"/>
    </row>
    <row r="1918" spans="1:7">
      <c r="A1918" s="7"/>
      <c r="B1918" s="6" t="str">
        <f>IF(A1918="","",LOWER(TEXT(A1918,"[$-es-ES]mmmm"))&amp;" "&amp;YEAR(A1918))</f>
        <v/>
      </c>
      <c r="G1918" s="8"/>
    </row>
    <row r="1919" spans="1:7">
      <c r="A1919" s="7"/>
      <c r="B1919" s="6" t="str">
        <f>IF(A1919="","",LOWER(TEXT(A1919,"[$-es-ES]mmmm"))&amp;" "&amp;YEAR(A1919))</f>
        <v/>
      </c>
      <c r="G1919" s="8"/>
    </row>
    <row r="1920" spans="1:7">
      <c r="A1920" s="7"/>
      <c r="B1920" s="6" t="str">
        <f>IF(A1920="","",LOWER(TEXT(A1920,"[$-es-ES]mmmm"))&amp;" "&amp;YEAR(A1920))</f>
        <v/>
      </c>
      <c r="G1920" s="8"/>
    </row>
    <row r="1921" spans="1:7">
      <c r="A1921" s="7"/>
      <c r="B1921" s="6" t="str">
        <f>IF(A1921="","",LOWER(TEXT(A1921,"[$-es-ES]mmmm"))&amp;" "&amp;YEAR(A1921))</f>
        <v/>
      </c>
      <c r="G1921" s="8"/>
    </row>
    <row r="1922" spans="1:7">
      <c r="A1922" s="7"/>
      <c r="B1922" s="6" t="str">
        <f>IF(A1922="","",LOWER(TEXT(A1922,"[$-es-ES]mmmm"))&amp;" "&amp;YEAR(A1922))</f>
        <v/>
      </c>
      <c r="G1922" s="8"/>
    </row>
    <row r="1923" spans="1:7">
      <c r="A1923" s="7"/>
      <c r="B1923" s="6" t="str">
        <f>IF(A1923="","",LOWER(TEXT(A1923,"[$-es-ES]mmmm"))&amp;" "&amp;YEAR(A1923))</f>
        <v/>
      </c>
      <c r="G1923" s="8"/>
    </row>
    <row r="1924" spans="1:7">
      <c r="A1924" s="7"/>
      <c r="B1924" s="6" t="str">
        <f>IF(A1924="","",LOWER(TEXT(A1924,"[$-es-ES]mmmm"))&amp;" "&amp;YEAR(A1924))</f>
        <v/>
      </c>
      <c r="G1924" s="8"/>
    </row>
    <row r="1925" spans="1:7">
      <c r="A1925" s="7"/>
      <c r="B1925" s="6" t="str">
        <f>IF(A1925="","",LOWER(TEXT(A1925,"[$-es-ES]mmmm"))&amp;" "&amp;YEAR(A1925))</f>
        <v/>
      </c>
      <c r="G1925" s="8"/>
    </row>
    <row r="1926" spans="1:7">
      <c r="A1926" s="7"/>
      <c r="B1926" s="6" t="str">
        <f>IF(A1926="","",LOWER(TEXT(A1926,"[$-es-ES]mmmm"))&amp;" "&amp;YEAR(A1926))</f>
        <v/>
      </c>
      <c r="G1926" s="8"/>
    </row>
    <row r="1927" spans="1:7">
      <c r="A1927" s="7"/>
      <c r="B1927" s="6" t="str">
        <f>IF(A1927="","",LOWER(TEXT(A1927,"[$-es-ES]mmmm"))&amp;" "&amp;YEAR(A1927))</f>
        <v/>
      </c>
      <c r="G1927" s="8"/>
    </row>
    <row r="1928" spans="1:7">
      <c r="A1928" s="7"/>
      <c r="B1928" s="6" t="str">
        <f>IF(A1928="","",LOWER(TEXT(A1928,"[$-es-ES]mmmm"))&amp;" "&amp;YEAR(A1928))</f>
        <v/>
      </c>
      <c r="G1928" s="8"/>
    </row>
    <row r="1929" spans="1:7">
      <c r="A1929" s="7"/>
      <c r="B1929" s="6" t="str">
        <f>IF(A1929="","",LOWER(TEXT(A1929,"[$-es-ES]mmmm"))&amp;" "&amp;YEAR(A1929))</f>
        <v/>
      </c>
      <c r="G1929" s="8"/>
    </row>
    <row r="1930" spans="1:7">
      <c r="A1930" s="7"/>
      <c r="B1930" s="6" t="str">
        <f>IF(A1930="","",LOWER(TEXT(A1930,"[$-es-ES]mmmm"))&amp;" "&amp;YEAR(A1930))</f>
        <v/>
      </c>
      <c r="G1930" s="8"/>
    </row>
    <row r="1931" spans="1:7">
      <c r="A1931" s="7"/>
      <c r="B1931" s="6" t="str">
        <f>IF(A1931="","",LOWER(TEXT(A1931,"[$-es-ES]mmmm"))&amp;" "&amp;YEAR(A1931))</f>
        <v/>
      </c>
      <c r="G1931" s="8"/>
    </row>
    <row r="1932" spans="1:7">
      <c r="A1932" s="7"/>
      <c r="B1932" s="6" t="str">
        <f>IF(A1932="","",LOWER(TEXT(A1932,"[$-es-ES]mmmm"))&amp;" "&amp;YEAR(A1932))</f>
        <v/>
      </c>
      <c r="G1932" s="8"/>
    </row>
    <row r="1933" spans="1:7">
      <c r="A1933" s="7"/>
      <c r="B1933" s="6" t="str">
        <f>IF(A1933="","",LOWER(TEXT(A1933,"[$-es-ES]mmmm"))&amp;" "&amp;YEAR(A1933))</f>
        <v/>
      </c>
      <c r="G1933" s="8"/>
    </row>
    <row r="1934" spans="1:7">
      <c r="A1934" s="7"/>
      <c r="B1934" s="6" t="str">
        <f>IF(A1934="","",LOWER(TEXT(A1934,"[$-es-ES]mmmm"))&amp;" "&amp;YEAR(A1934))</f>
        <v/>
      </c>
      <c r="G1934" s="8"/>
    </row>
    <row r="1935" spans="1:7">
      <c r="A1935" s="7"/>
      <c r="B1935" s="6" t="str">
        <f>IF(A1935="","",LOWER(TEXT(A1935,"[$-es-ES]mmmm"))&amp;" "&amp;YEAR(A1935))</f>
        <v/>
      </c>
      <c r="G1935" s="8"/>
    </row>
    <row r="1936" spans="1:7">
      <c r="A1936" s="7"/>
      <c r="B1936" s="6" t="str">
        <f>IF(A1936="","",LOWER(TEXT(A1936,"[$-es-ES]mmmm"))&amp;" "&amp;YEAR(A1936))</f>
        <v/>
      </c>
      <c r="G1936" s="8"/>
    </row>
    <row r="1937" spans="1:7">
      <c r="A1937" s="7"/>
      <c r="B1937" s="6" t="str">
        <f>IF(A1937="","",LOWER(TEXT(A1937,"[$-es-ES]mmmm"))&amp;" "&amp;YEAR(A1937))</f>
        <v/>
      </c>
      <c r="G1937" s="8"/>
    </row>
    <row r="1938" spans="1:7">
      <c r="A1938" s="7"/>
      <c r="B1938" s="6" t="str">
        <f>IF(A1938="","",LOWER(TEXT(A1938,"[$-es-ES]mmmm"))&amp;" "&amp;YEAR(A1938))</f>
        <v/>
      </c>
      <c r="G1938" s="8"/>
    </row>
    <row r="1939" spans="1:7">
      <c r="A1939" s="7"/>
      <c r="B1939" s="6" t="str">
        <f>IF(A1939="","",LOWER(TEXT(A1939,"[$-es-ES]mmmm"))&amp;" "&amp;YEAR(A1939))</f>
        <v/>
      </c>
      <c r="G1939" s="8"/>
    </row>
    <row r="1940" spans="1:7">
      <c r="A1940" s="7"/>
      <c r="B1940" s="6" t="str">
        <f>IF(A1940="","",LOWER(TEXT(A1940,"[$-es-ES]mmmm"))&amp;" "&amp;YEAR(A1940))</f>
        <v/>
      </c>
      <c r="G1940" s="8"/>
    </row>
    <row r="1941" spans="1:7">
      <c r="A1941" s="7"/>
      <c r="B1941" s="6" t="str">
        <f>IF(A1941="","",LOWER(TEXT(A1941,"[$-es-ES]mmmm"))&amp;" "&amp;YEAR(A1941))</f>
        <v/>
      </c>
      <c r="G1941" s="8"/>
    </row>
    <row r="1942" spans="1:7">
      <c r="A1942" s="7"/>
      <c r="B1942" s="6" t="str">
        <f>IF(A1942="","",LOWER(TEXT(A1942,"[$-es-ES]mmmm"))&amp;" "&amp;YEAR(A1942))</f>
        <v/>
      </c>
      <c r="G1942" s="8"/>
    </row>
    <row r="1943" spans="1:7">
      <c r="A1943" s="7"/>
      <c r="B1943" s="6" t="str">
        <f>IF(A1943="","",LOWER(TEXT(A1943,"[$-es-ES]mmmm"))&amp;" "&amp;YEAR(A1943))</f>
        <v/>
      </c>
      <c r="G1943" s="8"/>
    </row>
    <row r="1944" spans="1:7">
      <c r="A1944" s="7"/>
      <c r="B1944" s="6" t="str">
        <f>IF(A1944="","",LOWER(TEXT(A1944,"[$-es-ES]mmmm"))&amp;" "&amp;YEAR(A1944))</f>
        <v/>
      </c>
      <c r="G1944" s="8"/>
    </row>
    <row r="1945" spans="1:7">
      <c r="A1945" s="7"/>
      <c r="B1945" s="6" t="str">
        <f>IF(A1945="","",LOWER(TEXT(A1945,"[$-es-ES]mmmm"))&amp;" "&amp;YEAR(A1945))</f>
        <v/>
      </c>
      <c r="G1945" s="8"/>
    </row>
    <row r="1946" spans="1:7">
      <c r="A1946" s="7"/>
      <c r="B1946" s="6" t="str">
        <f>IF(A1946="","",LOWER(TEXT(A1946,"[$-es-ES]mmmm"))&amp;" "&amp;YEAR(A1946))</f>
        <v/>
      </c>
      <c r="G1946" s="8"/>
    </row>
    <row r="1947" spans="1:7">
      <c r="A1947" s="7"/>
      <c r="B1947" s="6" t="str">
        <f>IF(A1947="","",LOWER(TEXT(A1947,"[$-es-ES]mmmm"))&amp;" "&amp;YEAR(A1947))</f>
        <v/>
      </c>
      <c r="G1947" s="8"/>
    </row>
    <row r="1948" spans="1:7">
      <c r="A1948" s="7"/>
      <c r="B1948" s="6" t="str">
        <f>IF(A1948="","",LOWER(TEXT(A1948,"[$-es-ES]mmmm"))&amp;" "&amp;YEAR(A1948))</f>
        <v/>
      </c>
      <c r="G1948" s="8"/>
    </row>
    <row r="1949" spans="1:7">
      <c r="A1949" s="7"/>
      <c r="B1949" s="6" t="str">
        <f>IF(A1949="","",LOWER(TEXT(A1949,"[$-es-ES]mmmm"))&amp;" "&amp;YEAR(A1949))</f>
        <v/>
      </c>
      <c r="G1949" s="8"/>
    </row>
    <row r="1950" spans="1:7">
      <c r="A1950" s="7"/>
      <c r="B1950" s="6" t="str">
        <f>IF(A1950="","",LOWER(TEXT(A1950,"[$-es-ES]mmmm"))&amp;" "&amp;YEAR(A1950))</f>
        <v/>
      </c>
      <c r="G1950" s="8"/>
    </row>
    <row r="1951" spans="1:7">
      <c r="A1951" s="7"/>
      <c r="B1951" s="6" t="str">
        <f>IF(A1951="","",LOWER(TEXT(A1951,"[$-es-ES]mmmm"))&amp;" "&amp;YEAR(A1951))</f>
        <v/>
      </c>
      <c r="G1951" s="8"/>
    </row>
    <row r="1952" spans="1:7">
      <c r="A1952" s="7"/>
      <c r="B1952" s="6" t="str">
        <f>IF(A1952="","",LOWER(TEXT(A1952,"[$-es-ES]mmmm"))&amp;" "&amp;YEAR(A1952))</f>
        <v/>
      </c>
      <c r="G1952" s="8"/>
    </row>
    <row r="1953" spans="1:7">
      <c r="A1953" s="7"/>
      <c r="B1953" s="6" t="str">
        <f>IF(A1953="","",LOWER(TEXT(A1953,"[$-es-ES]mmmm"))&amp;" "&amp;YEAR(A1953))</f>
        <v/>
      </c>
      <c r="G1953" s="8"/>
    </row>
    <row r="1954" spans="1:7">
      <c r="A1954" s="7"/>
      <c r="B1954" s="6" t="str">
        <f>IF(A1954="","",LOWER(TEXT(A1954,"[$-es-ES]mmmm"))&amp;" "&amp;YEAR(A1954))</f>
        <v/>
      </c>
      <c r="G1954" s="8"/>
    </row>
    <row r="1955" spans="1:7">
      <c r="A1955" s="7"/>
      <c r="B1955" s="6" t="str">
        <f>IF(A1955="","",LOWER(TEXT(A1955,"[$-es-ES]mmmm"))&amp;" "&amp;YEAR(A1955))</f>
        <v/>
      </c>
      <c r="G1955" s="8"/>
    </row>
    <row r="1956" spans="1:7">
      <c r="A1956" s="7"/>
      <c r="B1956" s="6" t="str">
        <f>IF(A1956="","",LOWER(TEXT(A1956,"[$-es-ES]mmmm"))&amp;" "&amp;YEAR(A1956))</f>
        <v/>
      </c>
      <c r="G1956" s="8"/>
    </row>
    <row r="1957" spans="1:7">
      <c r="A1957" s="7"/>
      <c r="B1957" s="6" t="str">
        <f>IF(A1957="","",LOWER(TEXT(A1957,"[$-es-ES]mmmm"))&amp;" "&amp;YEAR(A1957))</f>
        <v/>
      </c>
      <c r="G1957" s="8"/>
    </row>
    <row r="1958" spans="1:7">
      <c r="A1958" s="7"/>
      <c r="B1958" s="6" t="str">
        <f>IF(A1958="","",LOWER(TEXT(A1958,"[$-es-ES]mmmm"))&amp;" "&amp;YEAR(A1958))</f>
        <v/>
      </c>
      <c r="G1958" s="8"/>
    </row>
    <row r="1959" spans="1:7">
      <c r="A1959" s="7"/>
      <c r="B1959" s="6" t="str">
        <f>IF(A1959="","",LOWER(TEXT(A1959,"[$-es-ES]mmmm"))&amp;" "&amp;YEAR(A1959))</f>
        <v/>
      </c>
      <c r="G1959" s="8"/>
    </row>
    <row r="1960" spans="1:7">
      <c r="A1960" s="7"/>
      <c r="B1960" s="6" t="str">
        <f>IF(A1960="","",LOWER(TEXT(A1960,"[$-es-ES]mmmm"))&amp;" "&amp;YEAR(A1960))</f>
        <v/>
      </c>
      <c r="G1960" s="8"/>
    </row>
    <row r="1961" spans="1:7">
      <c r="A1961" s="7"/>
      <c r="B1961" s="6" t="str">
        <f>IF(A1961="","",LOWER(TEXT(A1961,"[$-es-ES]mmmm"))&amp;" "&amp;YEAR(A1961))</f>
        <v/>
      </c>
      <c r="G1961" s="8"/>
    </row>
    <row r="1962" spans="1:7">
      <c r="A1962" s="7"/>
      <c r="B1962" s="6" t="str">
        <f>IF(A1962="","",LOWER(TEXT(A1962,"[$-es-ES]mmmm"))&amp;" "&amp;YEAR(A1962))</f>
        <v/>
      </c>
      <c r="G1962" s="8"/>
    </row>
    <row r="1963" spans="1:7">
      <c r="A1963" s="7"/>
      <c r="B1963" s="6" t="str">
        <f>IF(A1963="","",LOWER(TEXT(A1963,"[$-es-ES]mmmm"))&amp;" "&amp;YEAR(A1963))</f>
        <v/>
      </c>
      <c r="G1963" s="8"/>
    </row>
    <row r="1964" spans="1:7">
      <c r="A1964" s="7"/>
      <c r="B1964" s="6" t="str">
        <f>IF(A1964="","",LOWER(TEXT(A1964,"[$-es-ES]mmmm"))&amp;" "&amp;YEAR(A1964))</f>
        <v/>
      </c>
      <c r="G1964" s="8"/>
    </row>
    <row r="1965" spans="1:7">
      <c r="A1965" s="7"/>
      <c r="B1965" s="6" t="str">
        <f>IF(A1965="","",LOWER(TEXT(A1965,"[$-es-ES]mmmm"))&amp;" "&amp;YEAR(A1965))</f>
        <v/>
      </c>
      <c r="G1965" s="8"/>
    </row>
    <row r="1966" spans="1:7">
      <c r="A1966" s="7"/>
      <c r="B1966" s="6" t="str">
        <f>IF(A1966="","",LOWER(TEXT(A1966,"[$-es-ES]mmmm"))&amp;" "&amp;YEAR(A1966))</f>
        <v/>
      </c>
      <c r="G1966" s="8"/>
    </row>
    <row r="1967" spans="1:7">
      <c r="A1967" s="7"/>
      <c r="B1967" s="6" t="str">
        <f>IF(A1967="","",LOWER(TEXT(A1967,"[$-es-ES]mmmm"))&amp;" "&amp;YEAR(A1967))</f>
        <v/>
      </c>
      <c r="G1967" s="8"/>
    </row>
    <row r="1968" spans="1:7">
      <c r="A1968" s="7"/>
      <c r="B1968" s="6" t="str">
        <f>IF(A1968="","",LOWER(TEXT(A1968,"[$-es-ES]mmmm"))&amp;" "&amp;YEAR(A1968))</f>
        <v/>
      </c>
      <c r="G1968" s="8"/>
    </row>
    <row r="1969" spans="1:7">
      <c r="A1969" s="7"/>
      <c r="B1969" s="6" t="str">
        <f>IF(A1969="","",LOWER(TEXT(A1969,"[$-es-ES]mmmm"))&amp;" "&amp;YEAR(A1969))</f>
        <v/>
      </c>
      <c r="G1969" s="8"/>
    </row>
    <row r="1970" spans="1:7">
      <c r="A1970" s="7"/>
      <c r="B1970" s="6" t="str">
        <f>IF(A1970="","",LOWER(TEXT(A1970,"[$-es-ES]mmmm"))&amp;" "&amp;YEAR(A1970))</f>
        <v/>
      </c>
      <c r="G1970" s="8"/>
    </row>
    <row r="1971" spans="1:7">
      <c r="A1971" s="7"/>
      <c r="B1971" s="6" t="str">
        <f>IF(A1971="","",LOWER(TEXT(A1971,"[$-es-ES]mmmm"))&amp;" "&amp;YEAR(A1971))</f>
        <v/>
      </c>
      <c r="G1971" s="8"/>
    </row>
    <row r="1972" spans="1:7">
      <c r="A1972" s="7"/>
      <c r="B1972" s="6" t="str">
        <f>IF(A1972="","",LOWER(TEXT(A1972,"[$-es-ES]mmmm"))&amp;" "&amp;YEAR(A1972))</f>
        <v/>
      </c>
      <c r="G1972" s="8"/>
    </row>
    <row r="1973" spans="1:7">
      <c r="A1973" s="7"/>
      <c r="B1973" s="6" t="str">
        <f>IF(A1973="","",LOWER(TEXT(A1973,"[$-es-ES]mmmm"))&amp;" "&amp;YEAR(A1973))</f>
        <v/>
      </c>
      <c r="G1973" s="8"/>
    </row>
    <row r="1974" spans="1:7">
      <c r="A1974" s="7"/>
      <c r="B1974" s="6" t="str">
        <f>IF(A1974="","",LOWER(TEXT(A1974,"[$-es-ES]mmmm"))&amp;" "&amp;YEAR(A1974))</f>
        <v/>
      </c>
      <c r="G1974" s="8"/>
    </row>
    <row r="1975" spans="1:7">
      <c r="A1975" s="7"/>
      <c r="B1975" s="6" t="str">
        <f>IF(A1975="","",LOWER(TEXT(A1975,"[$-es-ES]mmmm"))&amp;" "&amp;YEAR(A1975))</f>
        <v/>
      </c>
      <c r="G1975" s="8"/>
    </row>
    <row r="1976" spans="1:7">
      <c r="A1976" s="7"/>
      <c r="B1976" s="6" t="str">
        <f>IF(A1976="","",LOWER(TEXT(A1976,"[$-es-ES]mmmm"))&amp;" "&amp;YEAR(A1976))</f>
        <v/>
      </c>
      <c r="G1976" s="8"/>
    </row>
    <row r="1977" spans="1:7">
      <c r="A1977" s="7"/>
      <c r="B1977" s="6" t="str">
        <f>IF(A1977="","",LOWER(TEXT(A1977,"[$-es-ES]mmmm"))&amp;" "&amp;YEAR(A1977))</f>
        <v/>
      </c>
      <c r="G1977" s="8"/>
    </row>
    <row r="1978" spans="1:7">
      <c r="A1978" s="7"/>
      <c r="B1978" s="6" t="str">
        <f>IF(A1978="","",LOWER(TEXT(A1978,"[$-es-ES]mmmm"))&amp;" "&amp;YEAR(A1978))</f>
        <v/>
      </c>
      <c r="G1978" s="8"/>
    </row>
    <row r="1979" spans="1:7">
      <c r="A1979" s="7"/>
      <c r="B1979" s="6" t="str">
        <f>IF(A1979="","",LOWER(TEXT(A1979,"[$-es-ES]mmmm"))&amp;" "&amp;YEAR(A1979))</f>
        <v/>
      </c>
      <c r="G1979" s="8"/>
    </row>
    <row r="1980" spans="1:7">
      <c r="A1980" s="7"/>
      <c r="B1980" s="6" t="str">
        <f>IF(A1980="","",LOWER(TEXT(A1980,"[$-es-ES]mmmm"))&amp;" "&amp;YEAR(A1980))</f>
        <v/>
      </c>
      <c r="G1980" s="8"/>
    </row>
    <row r="1981" spans="1:7">
      <c r="A1981" s="7"/>
      <c r="B1981" s="6" t="str">
        <f>IF(A1981="","",LOWER(TEXT(A1981,"[$-es-ES]mmmm"))&amp;" "&amp;YEAR(A1981))</f>
        <v/>
      </c>
      <c r="G1981" s="8"/>
    </row>
    <row r="1982" spans="1:7">
      <c r="A1982" s="7"/>
      <c r="B1982" s="6" t="str">
        <f>IF(A1982="","",LOWER(TEXT(A1982,"[$-es-ES]mmmm"))&amp;" "&amp;YEAR(A1982))</f>
        <v/>
      </c>
      <c r="G1982" s="8"/>
    </row>
    <row r="1983" spans="1:7">
      <c r="A1983" s="7"/>
      <c r="B1983" s="6" t="str">
        <f>IF(A1983="","",LOWER(TEXT(A1983,"[$-es-ES]mmmm"))&amp;" "&amp;YEAR(A1983))</f>
        <v/>
      </c>
      <c r="G1983" s="8"/>
    </row>
    <row r="1984" spans="1:7">
      <c r="A1984" s="7"/>
      <c r="B1984" s="6" t="str">
        <f>IF(A1984="","",LOWER(TEXT(A1984,"[$-es-ES]mmmm"))&amp;" "&amp;YEAR(A1984))</f>
        <v/>
      </c>
      <c r="G1984" s="8"/>
    </row>
    <row r="1985" spans="1:7">
      <c r="A1985" s="7"/>
      <c r="B1985" s="6" t="str">
        <f>IF(A1985="","",LOWER(TEXT(A1985,"[$-es-ES]mmmm"))&amp;" "&amp;YEAR(A1985))</f>
        <v/>
      </c>
      <c r="G1985" s="8"/>
    </row>
    <row r="1986" spans="1:7">
      <c r="A1986" s="7"/>
      <c r="B1986" s="6" t="str">
        <f>IF(A1986="","",LOWER(TEXT(A1986,"[$-es-ES]mmmm"))&amp;" "&amp;YEAR(A1986))</f>
        <v/>
      </c>
      <c r="G1986" s="8"/>
    </row>
    <row r="1987" spans="1:7">
      <c r="A1987" s="7"/>
      <c r="B1987" s="6" t="str">
        <f>IF(A1987="","",LOWER(TEXT(A1987,"[$-es-ES]mmmm"))&amp;" "&amp;YEAR(A1987))</f>
        <v/>
      </c>
      <c r="G1987" s="8"/>
    </row>
    <row r="1988" spans="1:7">
      <c r="A1988" s="7"/>
      <c r="B1988" s="6" t="str">
        <f>IF(A1988="","",LOWER(TEXT(A1988,"[$-es-ES]mmmm"))&amp;" "&amp;YEAR(A1988))</f>
        <v/>
      </c>
      <c r="G1988" s="8"/>
    </row>
    <row r="1989" spans="1:7">
      <c r="A1989" s="7"/>
      <c r="B1989" s="6" t="str">
        <f>IF(A1989="","",LOWER(TEXT(A1989,"[$-es-ES]mmmm"))&amp;" "&amp;YEAR(A1989))</f>
        <v/>
      </c>
      <c r="G1989" s="8"/>
    </row>
    <row r="1990" spans="1:7">
      <c r="A1990" s="7"/>
      <c r="B1990" s="6" t="str">
        <f>IF(A1990="","",LOWER(TEXT(A1990,"[$-es-ES]mmmm"))&amp;" "&amp;YEAR(A1990))</f>
        <v/>
      </c>
      <c r="G1990" s="8"/>
    </row>
    <row r="1991" spans="1:7">
      <c r="A1991" s="7"/>
      <c r="B1991" s="6" t="str">
        <f>IF(A1991="","",LOWER(TEXT(A1991,"[$-es-ES]mmmm"))&amp;" "&amp;YEAR(A1991))</f>
        <v/>
      </c>
      <c r="G1991" s="8"/>
    </row>
    <row r="1992" spans="1:7">
      <c r="A1992" s="7"/>
      <c r="B1992" s="6" t="str">
        <f>IF(A1992="","",LOWER(TEXT(A1992,"[$-es-ES]mmmm"))&amp;" "&amp;YEAR(A1992))</f>
        <v/>
      </c>
      <c r="G1992" s="8"/>
    </row>
    <row r="1993" spans="1:7">
      <c r="A1993" s="7"/>
      <c r="B1993" s="6" t="str">
        <f>IF(A1993="","",LOWER(TEXT(A1993,"[$-es-ES]mmmm"))&amp;" "&amp;YEAR(A1993))</f>
        <v/>
      </c>
      <c r="G1993" s="8"/>
    </row>
    <row r="1994" spans="1:7">
      <c r="A1994" s="7"/>
      <c r="B1994" s="6" t="str">
        <f>IF(A1994="","",LOWER(TEXT(A1994,"[$-es-ES]mmmm"))&amp;" "&amp;YEAR(A1994))</f>
        <v/>
      </c>
      <c r="G1994" s="8"/>
    </row>
    <row r="1995" spans="1:7">
      <c r="A1995" s="7"/>
      <c r="B1995" s="6" t="str">
        <f>IF(A1995="","",LOWER(TEXT(A1995,"[$-es-ES]mmmm"))&amp;" "&amp;YEAR(A1995))</f>
        <v/>
      </c>
      <c r="G1995" s="8"/>
    </row>
    <row r="1996" spans="1:7">
      <c r="A1996" s="7"/>
      <c r="B1996" s="6" t="str">
        <f>IF(A1996="","",LOWER(TEXT(A1996,"[$-es-ES]mmmm"))&amp;" "&amp;YEAR(A1996))</f>
        <v/>
      </c>
      <c r="G1996" s="8"/>
    </row>
    <row r="1997" spans="1:7">
      <c r="A1997" s="7"/>
      <c r="B1997" s="6" t="str">
        <f>IF(A1997="","",LOWER(TEXT(A1997,"[$-es-ES]mmmm"))&amp;" "&amp;YEAR(A1997))</f>
        <v/>
      </c>
      <c r="G1997" s="8"/>
    </row>
    <row r="1998" spans="1:7">
      <c r="A1998" s="7"/>
      <c r="B1998" s="6" t="str">
        <f>IF(A1998="","",LOWER(TEXT(A1998,"[$-es-ES]mmmm"))&amp;" "&amp;YEAR(A1998))</f>
        <v/>
      </c>
      <c r="G1998" s="8"/>
    </row>
    <row r="1999" spans="1:7">
      <c r="A1999" s="7"/>
      <c r="B1999" s="6" t="str">
        <f>IF(A1999="","",LOWER(TEXT(A1999,"[$-es-ES]mmmm"))&amp;" "&amp;YEAR(A1999))</f>
        <v/>
      </c>
      <c r="G1999" s="8"/>
    </row>
    <row r="2000" spans="1:7">
      <c r="A2000" s="7"/>
      <c r="B2000" s="6" t="str">
        <f>IF(A2000="","",LOWER(TEXT(A2000,"[$-es-ES]mmmm"))&amp;" "&amp;YEAR(A2000))</f>
        <v/>
      </c>
      <c r="G2000" s="8"/>
    </row>
    <row r="2001" spans="1:7">
      <c r="A2001" s="7"/>
      <c r="B2001" s="6" t="str">
        <f>IF(A2001="","",LOWER(TEXT(A2001,"[$-es-ES]mmmm"))&amp;" "&amp;YEAR(A2001))</f>
        <v/>
      </c>
      <c r="G2001" s="8"/>
    </row>
    <row r="2002" spans="1:7">
      <c r="A2002" s="7"/>
      <c r="B2002" s="6" t="str">
        <f>IF(A2002="","",LOWER(TEXT(A2002,"[$-es-ES]mmmm"))&amp;" "&amp;YEAR(A2002))</f>
        <v/>
      </c>
      <c r="G2002" s="8"/>
    </row>
    <row r="2003" spans="1:7">
      <c r="A2003" s="7"/>
      <c r="B2003" s="6" t="str">
        <f>IF(A2003="","",LOWER(TEXT(A2003,"[$-es-ES]mmmm"))&amp;" "&amp;YEAR(A2003))</f>
        <v/>
      </c>
      <c r="G2003" s="8"/>
    </row>
    <row r="2004" spans="1:7">
      <c r="A2004" s="7"/>
      <c r="B2004" s="6" t="str">
        <f>IF(A2004="","",LOWER(TEXT(A2004,"[$-es-ES]mmmm"))&amp;" "&amp;YEAR(A2004))</f>
        <v/>
      </c>
      <c r="G2004" s="8"/>
    </row>
    <row r="2005" spans="1:7">
      <c r="A2005" s="7"/>
      <c r="B2005" s="6" t="str">
        <f>IF(A2005="","",LOWER(TEXT(A2005,"[$-es-ES]mmmm"))&amp;" "&amp;YEAR(A2005))</f>
        <v/>
      </c>
      <c r="G2005" s="8"/>
    </row>
    <row r="2006" spans="1:7">
      <c r="A2006" s="7"/>
      <c r="B2006" s="6" t="str">
        <f>IF(A2006="","",LOWER(TEXT(A2006,"[$-es-ES]mmmm"))&amp;" "&amp;YEAR(A2006))</f>
        <v/>
      </c>
      <c r="G2006" s="8"/>
    </row>
    <row r="2007" spans="1:7">
      <c r="A2007" s="7"/>
      <c r="B2007" s="6" t="str">
        <f>IF(A2007="","",LOWER(TEXT(A2007,"[$-es-ES]mmmm"))&amp;" "&amp;YEAR(A2007))</f>
        <v/>
      </c>
      <c r="G2007" s="8"/>
    </row>
    <row r="2008" spans="1:7">
      <c r="A2008" s="7"/>
      <c r="B2008" s="6" t="str">
        <f>IF(A2008="","",LOWER(TEXT(A2008,"[$-es-ES]mmmm"))&amp;" "&amp;YEAR(A2008))</f>
        <v/>
      </c>
      <c r="G2008" s="8"/>
    </row>
    <row r="2009" spans="1:7">
      <c r="A2009" s="7"/>
      <c r="B2009" s="6" t="str">
        <f>IF(A2009="","",LOWER(TEXT(A2009,"[$-es-ES]mmmm"))&amp;" "&amp;YEAR(A2009))</f>
        <v/>
      </c>
      <c r="G2009" s="8"/>
    </row>
  </sheetData>
  <conditionalFormatting sqref="G2:G4 G15:G26 G7:G13 G110 G113:G129 G131:G151 G153:G160 G28:G108 G162:G193 G195:G218 G220:G235 G237:G2009">
    <cfRule type="cellIs" dxfId="41" priority="27" operator="greaterThanOrEqual">
      <formula>0</formula>
    </cfRule>
    <cfRule type="cellIs" dxfId="40" priority="28" operator="lessThan">
      <formula>0</formula>
    </cfRule>
  </conditionalFormatting>
  <conditionalFormatting sqref="G14">
    <cfRule type="cellIs" dxfId="39" priority="25" operator="greaterThanOrEqual">
      <formula>0</formula>
    </cfRule>
    <cfRule type="cellIs" dxfId="38" priority="26" operator="lessThan">
      <formula>0</formula>
    </cfRule>
  </conditionalFormatting>
  <conditionalFormatting sqref="G27">
    <cfRule type="cellIs" dxfId="37" priority="23" operator="greaterThanOrEqual">
      <formula>0</formula>
    </cfRule>
    <cfRule type="cellIs" dxfId="36" priority="24" operator="lessThan">
      <formula>0</formula>
    </cfRule>
  </conditionalFormatting>
  <conditionalFormatting sqref="G5">
    <cfRule type="cellIs" dxfId="35" priority="21" operator="greaterThanOrEqual">
      <formula>0</formula>
    </cfRule>
    <cfRule type="cellIs" dxfId="34" priority="22" operator="lessThan">
      <formula>0</formula>
    </cfRule>
  </conditionalFormatting>
  <conditionalFormatting sqref="G6">
    <cfRule type="cellIs" dxfId="33" priority="19" operator="greaterThanOrEqual">
      <formula>0</formula>
    </cfRule>
    <cfRule type="cellIs" dxfId="32" priority="20" operator="lessThan">
      <formula>0</formula>
    </cfRule>
  </conditionalFormatting>
  <conditionalFormatting sqref="G109">
    <cfRule type="cellIs" dxfId="31" priority="17" operator="greaterThanOrEqual">
      <formula>0</formula>
    </cfRule>
    <cfRule type="cellIs" dxfId="30" priority="18" operator="lessThan">
      <formula>0</formula>
    </cfRule>
  </conditionalFormatting>
  <conditionalFormatting sqref="G111">
    <cfRule type="cellIs" dxfId="29" priority="15" operator="greaterThanOrEqual">
      <formula>0</formula>
    </cfRule>
    <cfRule type="cellIs" dxfId="28" priority="16" operator="lessThan">
      <formula>0</formula>
    </cfRule>
  </conditionalFormatting>
  <conditionalFormatting sqref="G112">
    <cfRule type="cellIs" dxfId="27" priority="13" operator="greaterThanOrEqual">
      <formula>0</formula>
    </cfRule>
    <cfRule type="cellIs" dxfId="26" priority="14" operator="lessThan">
      <formula>0</formula>
    </cfRule>
  </conditionalFormatting>
  <conditionalFormatting sqref="G130">
    <cfRule type="cellIs" dxfId="25" priority="11" operator="greaterThanOrEqual">
      <formula>0</formula>
    </cfRule>
    <cfRule type="cellIs" dxfId="24" priority="12" operator="lessThan">
      <formula>0</formula>
    </cfRule>
  </conditionalFormatting>
  <conditionalFormatting sqref="G152">
    <cfRule type="cellIs" dxfId="23" priority="9" operator="greaterThanOrEqual">
      <formula>0</formula>
    </cfRule>
    <cfRule type="cellIs" dxfId="22" priority="10" operator="lessThan">
      <formula>0</formula>
    </cfRule>
  </conditionalFormatting>
  <conditionalFormatting sqref="G161">
    <cfRule type="cellIs" dxfId="21" priority="7" operator="greaterThanOrEqual">
      <formula>0</formula>
    </cfRule>
    <cfRule type="cellIs" dxfId="20" priority="8" operator="lessThan">
      <formula>0</formula>
    </cfRule>
  </conditionalFormatting>
  <conditionalFormatting sqref="G194">
    <cfRule type="cellIs" dxfId="19" priority="5" operator="greaterThanOrEqual">
      <formula>0</formula>
    </cfRule>
    <cfRule type="cellIs" dxfId="18" priority="6" operator="lessThan">
      <formula>0</formula>
    </cfRule>
  </conditionalFormatting>
  <conditionalFormatting sqref="G219">
    <cfRule type="cellIs" dxfId="17" priority="3" operator="greaterThanOrEqual">
      <formula>0</formula>
    </cfRule>
    <cfRule type="cellIs" dxfId="16" priority="4" operator="lessThan">
      <formula>0</formula>
    </cfRule>
  </conditionalFormatting>
  <conditionalFormatting sqref="G236">
    <cfRule type="cellIs" dxfId="15" priority="1" operator="greaterThanOrEqual">
      <formula>0</formula>
    </cfRule>
    <cfRule type="cellIs" dxfId="14" priority="2" operator="lessThan">
      <formula>0</formula>
    </cfRule>
  </conditionalFormatting>
  <dataValidations count="3">
    <dataValidation type="list" showInputMessage="1" showErrorMessage="1" sqref="C2:C2010" xr:uid="{00000000-0002-0000-0000-000000000000}">
      <formula1>Tipos_rng</formula1>
    </dataValidation>
    <dataValidation type="list" showInputMessage="1" showErrorMessage="1" sqref="D2:D2010" xr:uid="{00000000-0002-0000-0000-000001000000}">
      <formula1>CHOOSE(MATCH($C2,Tipos_rng,0),Ingreso_rng,Fijo_rng,Variable_rng,Ahorro_rng,Inversion_rng)</formula1>
    </dataValidation>
    <dataValidation type="list" showInputMessage="1" showErrorMessage="1" sqref="F2:F2010" xr:uid="{00000000-0002-0000-0000-000002000000}">
      <formula1>Cuentas_rng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B10" sqref="B10"/>
    </sheetView>
  </sheetViews>
  <sheetFormatPr defaultColWidth="9.140625" defaultRowHeight="15"/>
  <cols>
    <col min="1" max="6" width="22" customWidth="1"/>
  </cols>
  <sheetData>
    <row r="1" spans="1:6" ht="15.75" thickBot="1">
      <c r="A1" s="20" t="s">
        <v>83</v>
      </c>
      <c r="B1" s="20" t="s">
        <v>84</v>
      </c>
      <c r="C1" s="20"/>
      <c r="D1" s="20"/>
      <c r="E1" s="20"/>
      <c r="F1" s="20"/>
    </row>
    <row r="2" spans="1:6" ht="15.75" thickBot="1">
      <c r="A2" s="15" t="s">
        <v>85</v>
      </c>
      <c r="B2" s="16" t="s">
        <v>86</v>
      </c>
      <c r="C2" s="16" t="s">
        <v>87</v>
      </c>
      <c r="D2" s="16" t="s">
        <v>88</v>
      </c>
      <c r="E2" s="16" t="s">
        <v>89</v>
      </c>
      <c r="F2" s="17" t="s">
        <v>90</v>
      </c>
    </row>
    <row r="3" spans="1:6">
      <c r="A3" s="12" t="s">
        <v>91</v>
      </c>
      <c r="B3" s="13">
        <f>Parametros!$B$1*Parametros!$B$4/100</f>
        <v>945</v>
      </c>
      <c r="C3" s="13">
        <f>-SUMIFS(Movimientos!$G:$G,Movimientos!$B:$B,$B$1,Movimientos!$C:$C,"Gasto fijo")</f>
        <v>710.63</v>
      </c>
      <c r="D3" s="13">
        <f>B3-C3</f>
        <v>234.37</v>
      </c>
      <c r="E3" s="14">
        <f>IF(B3=0,0,C3/B3)</f>
        <v>0.75198941798941799</v>
      </c>
      <c r="F3" s="12" t="str">
        <f>IF(E3&gt;1,"⚠ Sobrepasado","OK")</f>
        <v>OK</v>
      </c>
    </row>
    <row r="4" spans="1:6">
      <c r="A4" s="9" t="s">
        <v>92</v>
      </c>
      <c r="B4" s="10">
        <f>Parametros!$B$1*Parametros!$B$5/100</f>
        <v>525</v>
      </c>
      <c r="C4" s="18">
        <f>-SUMIFS(Movimientos!$G:$G,Movimientos!$B:$B,$B$1,Movimientos!$C:$C,"Gasto variable")</f>
        <v>72.330000000000013</v>
      </c>
      <c r="D4" s="10">
        <f>B4-C4</f>
        <v>452.66999999999996</v>
      </c>
      <c r="E4" s="11">
        <f>IF(B4=0,0,C4/B4)</f>
        <v>0.1377714285714286</v>
      </c>
      <c r="F4" s="9" t="str">
        <f>IF(E4&gt;1,"⚠ Sobrepasado","OK")</f>
        <v>OK</v>
      </c>
    </row>
    <row r="5" spans="1:6">
      <c r="A5" s="9" t="s">
        <v>39</v>
      </c>
      <c r="B5" s="10">
        <f>Parametros!$B$1*Parametros!$B$6/100</f>
        <v>315</v>
      </c>
      <c r="C5" s="10">
        <f>-SUMIFS(Movimientos!$G:$G,Movimientos!$B:$B,$B$1,Movimientos!$C:$C,"Ahorro")</f>
        <v>0</v>
      </c>
      <c r="D5" s="10">
        <f>B5-C5</f>
        <v>315</v>
      </c>
      <c r="E5" s="11">
        <f>IF(B5=0,0,C5/B5)</f>
        <v>0</v>
      </c>
      <c r="F5" s="9" t="str">
        <f>IF(E5&gt;1,"⚠ Sobrepasado","OK")</f>
        <v>OK</v>
      </c>
    </row>
    <row r="6" spans="1:6">
      <c r="A6" s="9" t="s">
        <v>93</v>
      </c>
      <c r="B6" s="10">
        <f>Parametros!$B$1*Parametros!$B$7/100</f>
        <v>315</v>
      </c>
      <c r="C6" s="10">
        <f>-SUMIFS(Movimientos!$G:$G,Movimientos!$B:$B,$B$1,Movimientos!$C:$C,"Inversión")</f>
        <v>0</v>
      </c>
      <c r="D6" s="10">
        <f>B6-C6</f>
        <v>315</v>
      </c>
      <c r="E6" s="11">
        <f>IF(B6=0,0,C6/B6)</f>
        <v>0</v>
      </c>
      <c r="F6" s="9" t="str">
        <f>IF(E6&gt;1,"⚠ Sobrepasado","OK")</f>
        <v>OK</v>
      </c>
    </row>
    <row r="8" spans="1:6">
      <c r="A8" s="20" t="s">
        <v>94</v>
      </c>
      <c r="B8" s="20"/>
      <c r="C8" s="2">
        <f>SUMIFS(Movimientos!$G:$G,Movimientos!$B:$B,$B$1,Movimientos!$C:$C,"Ingreso")</f>
        <v>2343.9</v>
      </c>
      <c r="D8" s="20"/>
      <c r="E8" s="20"/>
      <c r="F8" s="20"/>
    </row>
    <row r="9" spans="1:6">
      <c r="A9" s="20" t="s">
        <v>95</v>
      </c>
      <c r="B9" s="20"/>
      <c r="C9" s="2">
        <f>C3+C4</f>
        <v>782.96</v>
      </c>
      <c r="D9" s="20"/>
      <c r="E9" s="20"/>
      <c r="F9" s="20"/>
    </row>
    <row r="10" spans="1:6">
      <c r="A10" s="20" t="s">
        <v>96</v>
      </c>
      <c r="B10" s="20"/>
      <c r="C10" s="2">
        <f>B3+B4+B5+B6</f>
        <v>2100</v>
      </c>
      <c r="D10" s="20"/>
      <c r="E10" s="20"/>
      <c r="F10" s="20"/>
    </row>
    <row r="11" spans="1:6">
      <c r="A11" s="20" t="s">
        <v>97</v>
      </c>
      <c r="B11" s="20"/>
      <c r="C11" s="3">
        <f>IF(C10=0,0,C9/C10)</f>
        <v>0.37283809523809525</v>
      </c>
      <c r="D11" s="20"/>
      <c r="E11" s="20"/>
      <c r="F11" s="20"/>
    </row>
    <row r="12" spans="1:6">
      <c r="A12" s="20" t="s">
        <v>98</v>
      </c>
      <c r="B12" s="20"/>
      <c r="C12" s="2">
        <f>C8-C9</f>
        <v>1560.94</v>
      </c>
      <c r="D12" s="20"/>
      <c r="E12" s="20"/>
      <c r="F12" s="20"/>
    </row>
    <row r="20" spans="1:6">
      <c r="A20" s="20" t="s">
        <v>83</v>
      </c>
      <c r="B20" s="20" t="s">
        <v>99</v>
      </c>
      <c r="C20" s="20"/>
      <c r="D20" s="20"/>
      <c r="E20" s="20"/>
      <c r="F20" s="20"/>
    </row>
    <row r="21" spans="1:6">
      <c r="A21" s="20" t="s">
        <v>85</v>
      </c>
      <c r="B21" s="20" t="s">
        <v>86</v>
      </c>
      <c r="C21" s="20" t="s">
        <v>87</v>
      </c>
      <c r="D21" s="20" t="s">
        <v>88</v>
      </c>
      <c r="E21" s="20" t="s">
        <v>89</v>
      </c>
      <c r="F21" s="20" t="s">
        <v>90</v>
      </c>
    </row>
    <row r="22" spans="1:6">
      <c r="A22" s="20" t="s">
        <v>91</v>
      </c>
      <c r="B22" s="20">
        <v>797.202</v>
      </c>
      <c r="C22" s="20">
        <v>748.18999999999994</v>
      </c>
      <c r="D22" s="20">
        <v>49.012000000000057</v>
      </c>
      <c r="E22" s="19">
        <v>0.93851997360769279</v>
      </c>
      <c r="F22" s="20" t="s">
        <v>100</v>
      </c>
    </row>
    <row r="23" spans="1:6">
      <c r="A23" s="20" t="s">
        <v>92</v>
      </c>
      <c r="B23" s="20">
        <v>442.89</v>
      </c>
      <c r="C23" s="20">
        <v>266.08999999999997</v>
      </c>
      <c r="D23" s="20">
        <v>176.8</v>
      </c>
      <c r="E23" s="19">
        <v>0.60080381133012706</v>
      </c>
      <c r="F23" s="20" t="s">
        <v>100</v>
      </c>
    </row>
    <row r="24" spans="1:6">
      <c r="A24" s="20" t="s">
        <v>39</v>
      </c>
      <c r="B24" s="20">
        <v>265.73399999999998</v>
      </c>
      <c r="C24" s="20">
        <v>457.28</v>
      </c>
      <c r="D24" s="20">
        <v>-191.54599999999999</v>
      </c>
      <c r="E24" s="19">
        <v>1.7208185629238262</v>
      </c>
      <c r="F24" s="20" t="s">
        <v>101</v>
      </c>
    </row>
    <row r="25" spans="1:6">
      <c r="A25" s="20" t="s">
        <v>93</v>
      </c>
      <c r="B25" s="20">
        <v>265.73399999999998</v>
      </c>
      <c r="C25" s="20">
        <v>300</v>
      </c>
      <c r="D25" s="20">
        <v>-34.26600000000002</v>
      </c>
      <c r="E25" s="19">
        <v>1.1289484973695501</v>
      </c>
      <c r="F25" s="20" t="s">
        <v>101</v>
      </c>
    </row>
    <row r="27" spans="1:6">
      <c r="A27" s="20" t="s">
        <v>94</v>
      </c>
      <c r="B27" s="20"/>
      <c r="C27" s="20">
        <v>1771.56</v>
      </c>
      <c r="D27" s="20"/>
      <c r="E27" s="20"/>
      <c r="F27" s="20"/>
    </row>
    <row r="28" spans="1:6">
      <c r="A28" s="20" t="s">
        <v>95</v>
      </c>
      <c r="B28" s="20"/>
      <c r="C28" s="20">
        <v>1014.28</v>
      </c>
      <c r="D28" s="20"/>
      <c r="E28" s="20"/>
      <c r="F28" s="20"/>
    </row>
    <row r="29" spans="1:6">
      <c r="A29" s="20" t="s">
        <v>96</v>
      </c>
      <c r="B29" s="20"/>
      <c r="C29" s="20">
        <v>1771.56</v>
      </c>
      <c r="D29" s="20"/>
      <c r="E29" s="20"/>
      <c r="F29" s="20"/>
    </row>
    <row r="30" spans="1:6">
      <c r="A30" s="20" t="s">
        <v>97</v>
      </c>
      <c r="B30" s="20"/>
      <c r="C30" s="19">
        <v>0.57253494095599355</v>
      </c>
      <c r="D30" s="20"/>
      <c r="E30" s="20"/>
      <c r="F30" s="20"/>
    </row>
    <row r="31" spans="1:6">
      <c r="A31" s="20" t="s">
        <v>98</v>
      </c>
      <c r="B31" s="20"/>
      <c r="C31" s="20">
        <v>757.28</v>
      </c>
      <c r="D31" s="20"/>
      <c r="E31" s="20"/>
      <c r="F31" s="20"/>
    </row>
  </sheetData>
  <conditionalFormatting sqref="C3:C6">
    <cfRule type="cellIs" dxfId="3" priority="1" operator="greaterThanOrEqual">
      <formula>0</formula>
    </cfRule>
    <cfRule type="cellIs" dxfId="2" priority="2" operator="lessThan">
      <formula>0</formula>
    </cfRule>
  </conditionalFormatting>
  <conditionalFormatting sqref="D3:D6">
    <cfRule type="cellIs" dxfId="1" priority="3" operator="greaterThanOrEqual">
      <formula>0</formula>
    </cfRule>
    <cfRule type="cellIs" dxfId="0" priority="4" operator="lessThan">
      <formula>0</formula>
    </cfRule>
  </conditionalFormatting>
  <conditionalFormatting sqref="E3:E6">
    <cfRule type="dataBar" priority="5">
      <dataBar>
        <cfvo type="num" val="0"/>
        <cfvo type="num" val="2"/>
        <color rgb="FF0EA5A4"/>
      </dataBar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100-000000000000}">
          <x14:formula1>
            <xm:f>Listas!$A$2:$A$25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6"/>
  <sheetViews>
    <sheetView workbookViewId="0">
      <selection activeCell="G38" sqref="G38"/>
    </sheetView>
  </sheetViews>
  <sheetFormatPr defaultColWidth="9.140625" defaultRowHeight="15"/>
  <cols>
    <col min="2" max="25" width="12" customWidth="1"/>
  </cols>
  <sheetData>
    <row r="1" spans="2:21" ht="23.25">
      <c r="B1" s="4" t="s">
        <v>102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3" spans="2:21">
      <c r="B3" s="20"/>
      <c r="C3" s="32" t="s">
        <v>94</v>
      </c>
      <c r="D3" s="22"/>
      <c r="E3" s="22"/>
      <c r="F3" s="22"/>
      <c r="G3" s="20"/>
      <c r="H3" s="26" t="s">
        <v>95</v>
      </c>
      <c r="I3" s="22"/>
      <c r="J3" s="22"/>
      <c r="K3" s="22"/>
      <c r="L3" s="20"/>
      <c r="M3" s="24" t="s">
        <v>96</v>
      </c>
      <c r="N3" s="22"/>
      <c r="O3" s="22"/>
      <c r="P3" s="22"/>
      <c r="Q3" s="20"/>
      <c r="R3" s="21" t="s">
        <v>103</v>
      </c>
      <c r="S3" s="22"/>
      <c r="T3" s="22"/>
      <c r="U3" s="22"/>
    </row>
    <row r="4" spans="2:21">
      <c r="B4" s="20"/>
      <c r="C4" s="33">
        <f>Panel_Mensual!C8</f>
        <v>2343.9</v>
      </c>
      <c r="D4" s="22"/>
      <c r="E4" s="22"/>
      <c r="F4" s="22"/>
      <c r="G4" s="20"/>
      <c r="H4" s="27">
        <f>Panel_Mensual!C9</f>
        <v>782.96</v>
      </c>
      <c r="I4" s="22"/>
      <c r="J4" s="22"/>
      <c r="K4" s="22"/>
      <c r="L4" s="20"/>
      <c r="M4" s="25">
        <f>Panel_Mensual!C10</f>
        <v>2100</v>
      </c>
      <c r="N4" s="22"/>
      <c r="O4" s="22"/>
      <c r="P4" s="22"/>
      <c r="Q4" s="20"/>
      <c r="R4" s="23">
        <f>Panel_Mensual!C12</f>
        <v>1560.94</v>
      </c>
      <c r="S4" s="22"/>
      <c r="T4" s="22"/>
      <c r="U4" s="22"/>
    </row>
    <row r="5" spans="2:21">
      <c r="B5" s="20"/>
      <c r="C5" s="22"/>
      <c r="D5" s="22"/>
      <c r="E5" s="22"/>
      <c r="F5" s="22"/>
      <c r="G5" s="20"/>
      <c r="H5" s="22"/>
      <c r="I5" s="22"/>
      <c r="J5" s="22"/>
      <c r="K5" s="22"/>
      <c r="L5" s="20"/>
      <c r="M5" s="22"/>
      <c r="N5" s="22"/>
      <c r="O5" s="22"/>
      <c r="P5" s="22"/>
      <c r="Q5" s="20"/>
      <c r="R5" s="22"/>
      <c r="S5" s="22"/>
      <c r="T5" s="22"/>
      <c r="U5" s="22"/>
    </row>
    <row r="7" spans="2:21">
      <c r="B7" s="20"/>
      <c r="C7" s="24" t="s">
        <v>104</v>
      </c>
      <c r="D7" s="22"/>
      <c r="E7" s="22"/>
      <c r="F7" s="22"/>
      <c r="G7" s="20"/>
      <c r="H7" s="26" t="s">
        <v>105</v>
      </c>
      <c r="I7" s="22"/>
      <c r="J7" s="22"/>
      <c r="K7" s="22"/>
      <c r="L7" s="20"/>
      <c r="M7" s="28" t="s">
        <v>106</v>
      </c>
      <c r="N7" s="22"/>
      <c r="O7" s="22"/>
      <c r="P7" s="22"/>
      <c r="Q7" s="20"/>
      <c r="R7" s="30" t="s">
        <v>107</v>
      </c>
      <c r="S7" s="22"/>
      <c r="T7" s="22"/>
      <c r="U7" s="22"/>
    </row>
    <row r="8" spans="2:21">
      <c r="B8" s="20"/>
      <c r="C8" s="25">
        <f>Panel_Mensual!C3</f>
        <v>710.63</v>
      </c>
      <c r="D8" s="22"/>
      <c r="E8" s="22"/>
      <c r="F8" s="22"/>
      <c r="G8" s="20"/>
      <c r="H8" s="27">
        <f>Panel_Mensual!C4</f>
        <v>72.330000000000013</v>
      </c>
      <c r="I8" s="22"/>
      <c r="J8" s="22"/>
      <c r="K8" s="22"/>
      <c r="L8" s="20"/>
      <c r="M8" s="29">
        <f>Panel_Mensual!C5</f>
        <v>0</v>
      </c>
      <c r="N8" s="22"/>
      <c r="O8" s="22"/>
      <c r="P8" s="22"/>
      <c r="Q8" s="20"/>
      <c r="R8" s="31">
        <f>Panel_Mensual!C6</f>
        <v>0</v>
      </c>
      <c r="S8" s="22"/>
      <c r="T8" s="22"/>
      <c r="U8" s="22"/>
    </row>
    <row r="9" spans="2:21">
      <c r="B9" s="20"/>
      <c r="C9" s="22"/>
      <c r="D9" s="22"/>
      <c r="E9" s="22"/>
      <c r="F9" s="22"/>
      <c r="G9" s="20"/>
      <c r="H9" s="22"/>
      <c r="I9" s="22"/>
      <c r="J9" s="22"/>
      <c r="K9" s="22"/>
      <c r="L9" s="20"/>
      <c r="M9" s="22"/>
      <c r="N9" s="22"/>
      <c r="O9" s="22"/>
      <c r="P9" s="22"/>
      <c r="Q9" s="20"/>
      <c r="R9" s="22"/>
      <c r="S9" s="22"/>
      <c r="T9" s="22"/>
      <c r="U9" s="22"/>
    </row>
    <row r="11" spans="2:21">
      <c r="B11" s="20"/>
      <c r="C11" s="20"/>
      <c r="D11" s="5" t="s">
        <v>108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2:21">
      <c r="B12" s="20"/>
      <c r="C12" s="20"/>
      <c r="D12" s="1" t="s">
        <v>85</v>
      </c>
      <c r="E12" s="1" t="s">
        <v>89</v>
      </c>
      <c r="F12" s="1" t="s">
        <v>88</v>
      </c>
      <c r="G12" s="1" t="s">
        <v>90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2:21">
      <c r="B13" s="20"/>
      <c r="C13" s="20"/>
      <c r="D13" s="20" t="s">
        <v>91</v>
      </c>
      <c r="E13" s="3">
        <f>Panel_Mensual!E3</f>
        <v>0.75198941798941799</v>
      </c>
      <c r="F13" s="2">
        <f>Panel_Mensual!D3</f>
        <v>234.37</v>
      </c>
      <c r="G13" s="20" t="str">
        <f>Panel_Mensual!F3</f>
        <v>OK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2:21">
      <c r="B14" s="20"/>
      <c r="C14" s="20"/>
      <c r="D14" s="20" t="s">
        <v>92</v>
      </c>
      <c r="E14" s="3">
        <f>Panel_Mensual!E4</f>
        <v>0.1377714285714286</v>
      </c>
      <c r="F14" s="2">
        <f>Panel_Mensual!D4</f>
        <v>452.66999999999996</v>
      </c>
      <c r="G14" s="20" t="str">
        <f>Panel_Mensual!F4</f>
        <v>OK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2:21">
      <c r="B15" s="20"/>
      <c r="C15" s="20"/>
      <c r="D15" s="20" t="s">
        <v>39</v>
      </c>
      <c r="E15" s="3">
        <f>Panel_Mensual!E5</f>
        <v>0</v>
      </c>
      <c r="F15" s="2">
        <f>Panel_Mensual!D5</f>
        <v>315</v>
      </c>
      <c r="G15" s="20" t="str">
        <f>Panel_Mensual!F5</f>
        <v>OK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2:21">
      <c r="B16" s="20"/>
      <c r="C16" s="20"/>
      <c r="D16" s="20" t="s">
        <v>93</v>
      </c>
      <c r="E16" s="3">
        <f>Panel_Mensual!E6</f>
        <v>0</v>
      </c>
      <c r="F16" s="2">
        <f>Panel_Mensual!D6</f>
        <v>315</v>
      </c>
      <c r="G16" s="20" t="str">
        <f>Panel_Mensual!F6</f>
        <v>OK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</sheetData>
  <mergeCells count="16">
    <mergeCell ref="R3:U3"/>
    <mergeCell ref="R4:U5"/>
    <mergeCell ref="C7:F7"/>
    <mergeCell ref="C8:F9"/>
    <mergeCell ref="H7:K7"/>
    <mergeCell ref="H8:K9"/>
    <mergeCell ref="M7:P7"/>
    <mergeCell ref="M8:P9"/>
    <mergeCell ref="R7:U7"/>
    <mergeCell ref="R8:U9"/>
    <mergeCell ref="C3:F3"/>
    <mergeCell ref="C4:F5"/>
    <mergeCell ref="H3:K3"/>
    <mergeCell ref="H4:K5"/>
    <mergeCell ref="M3:P3"/>
    <mergeCell ref="M4:P5"/>
  </mergeCells>
  <conditionalFormatting sqref="E13:E16">
    <cfRule type="dataBar" priority="1">
      <dataBar>
        <cfvo type="num" val="0"/>
        <cfvo type="num" val="2"/>
        <color rgb="FF0EA5A4"/>
      </dataBar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D15" sqref="D15"/>
    </sheetView>
  </sheetViews>
  <sheetFormatPr defaultColWidth="9.140625" defaultRowHeight="15"/>
  <cols>
    <col min="1" max="5" width="24" customWidth="1"/>
    <col min="9" max="9" width="9.85546875" bestFit="1" customWidth="1"/>
    <col min="10" max="10" width="11.28515625" bestFit="1" customWidth="1"/>
    <col min="11" max="11" width="10" bestFit="1" customWidth="1"/>
  </cols>
  <sheetData>
    <row r="1" spans="1:5">
      <c r="A1" s="1" t="s">
        <v>1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>
      <c r="A2" s="20" t="str">
        <f>Listas!A2</f>
        <v>enero 2025</v>
      </c>
      <c r="B2" s="2">
        <f>-SUMIFS(Movimientos!$G:$G,Movimientos!$B:$B,A2,Movimientos!$C:$C,"Gasto fijo") - SUMIFS(Movimientos!$G:$G,Movimientos!$B:$B,A2,Movimientos!$C:$C,"Gasto variable")</f>
        <v>0</v>
      </c>
      <c r="C2" s="2">
        <f>SUMIFS(Movimientos!$G:$G,Movimientos!$B:$B,A2,Movimientos!$C:$C,"Ingreso")</f>
        <v>0</v>
      </c>
      <c r="D2" s="2">
        <f>-SUMIFS(Movimientos!$G:$G,Movimientos!$B:$B,A2,Movimientos!$C:$C,"Ahorro")</f>
        <v>0</v>
      </c>
      <c r="E2" s="2">
        <f>-SUMIFS(Movimientos!$G:$G,Movimientos!$B:$B,A2,Movimientos!$C:$C,"Inversión")</f>
        <v>0</v>
      </c>
    </row>
    <row r="3" spans="1:5">
      <c r="A3" s="20" t="str">
        <f>Listas!A3</f>
        <v>febrero 2025</v>
      </c>
      <c r="B3" s="2">
        <f>-SUMIFS(Movimientos!$G:$G,Movimientos!$B:$B,A3,Movimientos!$C:$C,"Gasto fijo") - SUMIFS(Movimientos!$G:$G,Movimientos!$B:$B,A3,Movimientos!$C:$C,"Gasto variable")</f>
        <v>0</v>
      </c>
      <c r="C3" s="2">
        <f>SUMIFS(Movimientos!$G:$G,Movimientos!$B:$B,A3,Movimientos!$C:$C,"Ingreso")</f>
        <v>0</v>
      </c>
      <c r="D3" s="2">
        <f>-SUMIFS(Movimientos!$G:$G,Movimientos!$B:$B,A3,Movimientos!$C:$C,"Ahorro")</f>
        <v>0</v>
      </c>
      <c r="E3" s="2">
        <f>-SUMIFS(Movimientos!$G:$G,Movimientos!$B:$B,A3,Movimientos!$C:$C,"Inversión")</f>
        <v>0</v>
      </c>
    </row>
    <row r="4" spans="1:5">
      <c r="A4" s="20" t="str">
        <f>Listas!A4</f>
        <v>marzo 2025</v>
      </c>
      <c r="B4" s="2">
        <f>-SUMIFS(Movimientos!$G:$G,Movimientos!$B:$B,A4,Movimientos!$C:$C,"Gasto fijo") - SUMIFS(Movimientos!$G:$G,Movimientos!$B:$B,A4,Movimientos!$C:$C,"Gasto variable")</f>
        <v>0</v>
      </c>
      <c r="C4" s="2">
        <f>SUMIFS(Movimientos!$G:$G,Movimientos!$B:$B,A4,Movimientos!$C:$C,"Ingreso")</f>
        <v>0</v>
      </c>
      <c r="D4" s="2">
        <f>-SUMIFS(Movimientos!$G:$G,Movimientos!$B:$B,A4,Movimientos!$C:$C,"Ahorro")</f>
        <v>0</v>
      </c>
      <c r="E4" s="2">
        <f>-SUMIFS(Movimientos!$G:$G,Movimientos!$B:$B,A4,Movimientos!$C:$C,"Inversión")</f>
        <v>0</v>
      </c>
    </row>
    <row r="5" spans="1:5">
      <c r="A5" s="20" t="str">
        <f>Listas!A5</f>
        <v>abril 2025</v>
      </c>
      <c r="B5" s="2">
        <f>-SUMIFS(Movimientos!$G:$G,Movimientos!$B:$B,A5,Movimientos!$C:$C,"Gasto fijo") - SUMIFS(Movimientos!$G:$G,Movimientos!$B:$B,A5,Movimientos!$C:$C,"Gasto variable")</f>
        <v>0</v>
      </c>
      <c r="C5" s="2">
        <f>SUMIFS(Movimientos!$G:$G,Movimientos!$B:$B,A5,Movimientos!$C:$C,"Ingreso")</f>
        <v>0</v>
      </c>
      <c r="D5" s="2">
        <f>-SUMIFS(Movimientos!$G:$G,Movimientos!$B:$B,A5,Movimientos!$C:$C,"Ahorro")</f>
        <v>0</v>
      </c>
      <c r="E5" s="2">
        <f>-SUMIFS(Movimientos!$G:$G,Movimientos!$B:$B,A5,Movimientos!$C:$C,"Inversión")</f>
        <v>0</v>
      </c>
    </row>
    <row r="6" spans="1:5">
      <c r="A6" s="20" t="str">
        <f>Listas!A6</f>
        <v>mayo 2025</v>
      </c>
      <c r="B6" s="2">
        <f>-SUMIFS(Movimientos!$G:$G,Movimientos!$B:$B,A6,Movimientos!$C:$C,"Gasto fijo") - SUMIFS(Movimientos!$G:$G,Movimientos!$B:$B,A6,Movimientos!$C:$C,"Gasto variable")</f>
        <v>0</v>
      </c>
      <c r="C6" s="2">
        <f>SUMIFS(Movimientos!$G:$G,Movimientos!$B:$B,A6,Movimientos!$C:$C,"Ingreso")</f>
        <v>0</v>
      </c>
      <c r="D6" s="2">
        <f>-SUMIFS(Movimientos!$G:$G,Movimientos!$B:$B,A6,Movimientos!$C:$C,"Ahorro")</f>
        <v>0</v>
      </c>
      <c r="E6" s="2">
        <f>-SUMIFS(Movimientos!$G:$G,Movimientos!$B:$B,A6,Movimientos!$C:$C,"Inversión")</f>
        <v>0</v>
      </c>
    </row>
    <row r="7" spans="1:5">
      <c r="A7" s="20" t="str">
        <f>Listas!A7</f>
        <v>junio 2025</v>
      </c>
      <c r="B7" s="2">
        <f>-SUMIFS(Movimientos!$G:$G,Movimientos!$B:$B,A7,Movimientos!$C:$C,"Gasto fijo") - SUMIFS(Movimientos!$G:$G,Movimientos!$B:$B,A7,Movimientos!$C:$C,"Gasto variable")</f>
        <v>0</v>
      </c>
      <c r="C7" s="2">
        <f>SUMIFS(Movimientos!$G:$G,Movimientos!$B:$B,A7,Movimientos!$C:$C,"Ingreso")</f>
        <v>0</v>
      </c>
      <c r="D7" s="2">
        <f>-SUMIFS(Movimientos!$G:$G,Movimientos!$B:$B,A7,Movimientos!$C:$C,"Ahorro")</f>
        <v>0</v>
      </c>
      <c r="E7" s="2">
        <f>-SUMIFS(Movimientos!$G:$G,Movimientos!$B:$B,A7,Movimientos!$C:$C,"Inversión")</f>
        <v>0</v>
      </c>
    </row>
    <row r="8" spans="1:5">
      <c r="A8" s="20" t="str">
        <f>Listas!A8</f>
        <v>julio 2025</v>
      </c>
      <c r="B8" s="2">
        <f>-SUMIFS(Movimientos!$G:$G,Movimientos!$B:$B,A8,Movimientos!$C:$C,"Gasto fijo") - SUMIFS(Movimientos!$G:$G,Movimientos!$B:$B,A8,Movimientos!$C:$C,"Gasto variable")</f>
        <v>0</v>
      </c>
      <c r="C8" s="2">
        <f>SUMIFS(Movimientos!$G:$G,Movimientos!$B:$B,A8,Movimientos!$C:$C,"Ingreso")</f>
        <v>0</v>
      </c>
      <c r="D8" s="2">
        <f>-SUMIFS(Movimientos!$G:$G,Movimientos!$B:$B,A8,Movimientos!$C:$C,"Ahorro")</f>
        <v>0</v>
      </c>
      <c r="E8" s="2">
        <f>-SUMIFS(Movimientos!$G:$G,Movimientos!$B:$B,A8,Movimientos!$C:$C,"Inversión")</f>
        <v>0</v>
      </c>
    </row>
    <row r="9" spans="1:5">
      <c r="A9" s="20" t="str">
        <f>Listas!A9</f>
        <v>agosto 2025</v>
      </c>
      <c r="B9" s="2">
        <f>-SUMIFS(Movimientos!$G:$G,Movimientos!$B:$B,A9,Movimientos!$C:$C,"Gasto fijo") - SUMIFS(Movimientos!$G:$G,Movimientos!$B:$B,A9,Movimientos!$C:$C,"Gasto variable")</f>
        <v>0</v>
      </c>
      <c r="C9" s="2">
        <f>SUMIFS(Movimientos!$G:$G,Movimientos!$B:$B,A9,Movimientos!$C:$C,"Ingreso")</f>
        <v>0</v>
      </c>
      <c r="D9" s="2">
        <f>-SUMIFS(Movimientos!$G:$G,Movimientos!$B:$B,A9,Movimientos!$C:$C,"Ahorro")</f>
        <v>0</v>
      </c>
      <c r="E9" s="2">
        <f>-SUMIFS(Movimientos!$G:$G,Movimientos!$B:$B,A9,Movimientos!$C:$C,"Inversión")</f>
        <v>0</v>
      </c>
    </row>
    <row r="10" spans="1:5">
      <c r="A10" s="20" t="str">
        <f>Listas!A10</f>
        <v>septiembre 2025</v>
      </c>
      <c r="B10" s="2">
        <f>-SUMIFS(Movimientos!$G:$G,Movimientos!$B:$B,A10,Movimientos!$C:$C,"Gasto fijo") - SUMIFS(Movimientos!$G:$G,Movimientos!$B:$B,A10,Movimientos!$C:$C,"Gasto variable")</f>
        <v>1014.28</v>
      </c>
      <c r="C10" s="2">
        <f>SUMIFS(Movimientos!$G:$G,Movimientos!$B:$B,A10,Movimientos!$C:$C,"Ingreso")</f>
        <v>1771.56</v>
      </c>
      <c r="D10" s="2">
        <f>-SUMIFS(Movimientos!$G:$G,Movimientos!$B:$B,A10,Movimientos!$C:$C,"Ahorro")</f>
        <v>757.28</v>
      </c>
      <c r="E10" s="2">
        <f>-SUMIFS(Movimientos!$G:$G,Movimientos!$B:$B,A10,Movimientos!$C:$C,"Inversión")</f>
        <v>0</v>
      </c>
    </row>
    <row r="11" spans="1:5">
      <c r="A11" s="20" t="str">
        <f>Listas!A11</f>
        <v>octubre 2025</v>
      </c>
      <c r="B11" s="2">
        <f>-SUMIFS(Movimientos!$G:$G,Movimientos!$B:$B,A11,Movimientos!$C:$C,"Gasto fijo") - SUMIFS(Movimientos!$G:$G,Movimientos!$B:$B,A11,Movimientos!$C:$C,"Gasto variable")</f>
        <v>1433.5800000000002</v>
      </c>
      <c r="C11" s="2">
        <f>SUMIFS(Movimientos!$G:$G,Movimientos!$B:$B,A11,Movimientos!$C:$C,"Ingreso")</f>
        <v>5371.95</v>
      </c>
      <c r="D11" s="2">
        <f>-SUMIFS(Movimientos!$G:$G,Movimientos!$B:$B,A11,Movimientos!$C:$C,"Ahorro")</f>
        <v>3938.37</v>
      </c>
      <c r="E11" s="2">
        <f>-SUMIFS(Movimientos!$G:$G,Movimientos!$B:$B,A11,Movimientos!$C:$C,"Inversión")</f>
        <v>0</v>
      </c>
    </row>
    <row r="12" spans="1:5">
      <c r="A12" s="20" t="str">
        <f>Listas!A12</f>
        <v>noviembre 2025</v>
      </c>
      <c r="B12" s="2">
        <f>-SUMIFS(Movimientos!$G:$G,Movimientos!$B:$B,A12,Movimientos!$C:$C,"Gasto fijo") - SUMIFS(Movimientos!$G:$G,Movimientos!$B:$B,A12,Movimientos!$C:$C,"Gasto variable")</f>
        <v>1279.95</v>
      </c>
      <c r="C12" s="2">
        <f>SUMIFS(Movimientos!$G:$G,Movimientos!$B:$B,A12,Movimientos!$C:$C,"Ingreso")</f>
        <v>2186.0300000000002</v>
      </c>
      <c r="D12" s="2">
        <f>-SUMIFS(Movimientos!$G:$G,Movimientos!$B:$B,A12,Movimientos!$C:$C,"Ahorro")</f>
        <v>906.08</v>
      </c>
      <c r="E12" s="2">
        <f>-SUMIFS(Movimientos!$G:$G,Movimientos!$B:$B,A12,Movimientos!$C:$C,"Inversión")</f>
        <v>0</v>
      </c>
    </row>
    <row r="13" spans="1:5">
      <c r="A13" s="20" t="str">
        <f>Listas!A13</f>
        <v>diciembre 2025</v>
      </c>
      <c r="B13" s="2">
        <f>-SUMIFS(Movimientos!$G:$G,Movimientos!$B:$B,A13,Movimientos!$C:$C,"Gasto fijo") - SUMIFS(Movimientos!$G:$G,Movimientos!$B:$B,A13,Movimientos!$C:$C,"Gasto variable")</f>
        <v>2582.0200000000004</v>
      </c>
      <c r="C13" s="2">
        <f>SUMIFS(Movimientos!$G:$G,Movimientos!$B:$B,A13,Movimientos!$C:$C,"Ingreso")</f>
        <v>4910.84</v>
      </c>
      <c r="D13" s="2">
        <f>-SUMIFS(Movimientos!$G:$G,Movimientos!$B:$B,A13,Movimientos!$C:$C,"Ahorro")</f>
        <v>2328.8200000000002</v>
      </c>
      <c r="E13" s="2">
        <f>-SUMIFS(Movimientos!$G:$G,Movimientos!$B:$B,A13,Movimientos!$C:$C,"Inversión")</f>
        <v>0</v>
      </c>
    </row>
    <row r="14" spans="1:5">
      <c r="A14" s="20" t="str">
        <f>Listas!A14</f>
        <v>enero 2026</v>
      </c>
      <c r="B14" s="2">
        <f>-SUMIFS(Movimientos!$G:$G,Movimientos!$B:$B,A14,Movimientos!$C:$C,"Gasto fijo") - SUMIFS(Movimientos!$G:$G,Movimientos!$B:$B,A14,Movimientos!$C:$C,"Gasto variable")</f>
        <v>1446.85</v>
      </c>
      <c r="C14" s="2">
        <f>SUMIFS(Movimientos!$G:$G,Movimientos!$B:$B,A14,Movimientos!$C:$C,"Ingreso")</f>
        <v>2850</v>
      </c>
      <c r="D14" s="2">
        <f>-SUMIFS(Movimientos!$G:$G,Movimientos!$B:$B,A14,Movimientos!$C:$C,"Ahorro")</f>
        <v>1403.15</v>
      </c>
      <c r="E14" s="2">
        <f>-SUMIFS(Movimientos!$G:$G,Movimientos!$B:$B,A14,Movimientos!$C:$C,"Inversión")</f>
        <v>0</v>
      </c>
    </row>
    <row r="15" spans="1:5">
      <c r="A15" s="20" t="str">
        <f>Listas!A15</f>
        <v>febrero 2026</v>
      </c>
      <c r="B15" s="2">
        <f>-SUMIFS(Movimientos!$G:$G,Movimientos!$B:$B,A15,Movimientos!$C:$C,"Gasto fijo") - SUMIFS(Movimientos!$G:$G,Movimientos!$B:$B,A15,Movimientos!$C:$C,"Gasto variable")</f>
        <v>1512.46</v>
      </c>
      <c r="C15" s="2">
        <f>SUMIFS(Movimientos!$G:$G,Movimientos!$B:$B,A15,Movimientos!$C:$C,"Ingreso")</f>
        <v>2343.9</v>
      </c>
      <c r="D15" s="2">
        <f>-SUMIFS(Movimientos!$G:$G,Movimientos!$B:$B,A15,Movimientos!$C:$C,"Ahorro")</f>
        <v>831.44</v>
      </c>
      <c r="E15" s="2">
        <f>-SUMIFS(Movimientos!$G:$G,Movimientos!$B:$B,A15,Movimientos!$C:$C,"Inversión")</f>
        <v>0</v>
      </c>
    </row>
    <row r="16" spans="1:5">
      <c r="A16" s="20" t="str">
        <f>Listas!A16</f>
        <v>marzo 2026</v>
      </c>
      <c r="B16" s="2">
        <f>-SUMIFS(Movimientos!$G:$G,Movimientos!$B:$B,A16,Movimientos!$C:$C,"Gasto fijo") - SUMIFS(Movimientos!$G:$G,Movimientos!$B:$B,A16,Movimientos!$C:$C,"Gasto variable")</f>
        <v>782.96</v>
      </c>
      <c r="C16" s="2">
        <f>SUMIFS(Movimientos!$G:$G,Movimientos!$B:$B,A16,Movimientos!$C:$C,"Ingreso")</f>
        <v>2343.9</v>
      </c>
      <c r="D16" s="2">
        <f>-SUMIFS(Movimientos!$G:$G,Movimientos!$B:$B,A16,Movimientos!$C:$C,"Ahorro")</f>
        <v>0</v>
      </c>
      <c r="E16" s="2">
        <f>-SUMIFS(Movimientos!$G:$G,Movimientos!$B:$B,A16,Movimientos!$C:$C,"Inversión")</f>
        <v>0</v>
      </c>
    </row>
    <row r="17" spans="1:11">
      <c r="A17" s="20" t="str">
        <f>Listas!A17</f>
        <v>abril 2026</v>
      </c>
      <c r="B17" s="2">
        <f>-SUMIFS(Movimientos!$G:$G,Movimientos!$B:$B,A17,Movimientos!$C:$C,"Gasto fijo") - SUMIFS(Movimientos!$G:$G,Movimientos!$B:$B,A17,Movimientos!$C:$C,"Gasto variable")</f>
        <v>0</v>
      </c>
      <c r="C17" s="2">
        <f>SUMIFS(Movimientos!$G:$G,Movimientos!$B:$B,A17,Movimientos!$C:$C,"Ingreso")</f>
        <v>0</v>
      </c>
      <c r="D17" s="2">
        <f>-SUMIFS(Movimientos!$G:$G,Movimientos!$B:$B,A17,Movimientos!$C:$C,"Ahorro")</f>
        <v>0</v>
      </c>
      <c r="E17" s="2">
        <f>-SUMIFS(Movimientos!$G:$G,Movimientos!$B:$B,A17,Movimientos!$C:$C,"Inversión")</f>
        <v>0</v>
      </c>
      <c r="F17" s="20"/>
      <c r="G17" s="20"/>
      <c r="H17" s="20"/>
      <c r="I17" s="20"/>
      <c r="J17" s="20"/>
      <c r="K17" s="20"/>
    </row>
    <row r="18" spans="1:11">
      <c r="A18" s="20" t="str">
        <f>Listas!A18</f>
        <v>mayo 2026</v>
      </c>
      <c r="B18" s="2">
        <f>-SUMIFS(Movimientos!$G:$G,Movimientos!$B:$B,A18,Movimientos!$C:$C,"Gasto fijo") - SUMIFS(Movimientos!$G:$G,Movimientos!$B:$B,A18,Movimientos!$C:$C,"Gasto variable")</f>
        <v>0</v>
      </c>
      <c r="C18" s="2">
        <f>SUMIFS(Movimientos!$G:$G,Movimientos!$B:$B,A18,Movimientos!$C:$C,"Ingreso")</f>
        <v>0</v>
      </c>
      <c r="D18" s="2">
        <f>-SUMIFS(Movimientos!$G:$G,Movimientos!$B:$B,A18,Movimientos!$C:$C,"Ahorro")</f>
        <v>0</v>
      </c>
      <c r="E18" s="2">
        <f>-SUMIFS(Movimientos!$G:$G,Movimientos!$B:$B,A18,Movimientos!$C:$C,"Inversión")</f>
        <v>0</v>
      </c>
      <c r="F18" s="20"/>
      <c r="G18" s="20"/>
      <c r="H18" s="20"/>
      <c r="I18" s="20"/>
      <c r="J18" s="20"/>
      <c r="K18" s="20"/>
    </row>
    <row r="19" spans="1:11">
      <c r="A19" s="20" t="str">
        <f>Listas!A19</f>
        <v>junio 2026</v>
      </c>
      <c r="B19" s="2">
        <f>-SUMIFS(Movimientos!$G:$G,Movimientos!$B:$B,A19,Movimientos!$C:$C,"Gasto fijo") - SUMIFS(Movimientos!$G:$G,Movimientos!$B:$B,A19,Movimientos!$C:$C,"Gasto variable")</f>
        <v>0</v>
      </c>
      <c r="C19" s="2">
        <f>SUMIFS(Movimientos!$G:$G,Movimientos!$B:$B,A19,Movimientos!$C:$C,"Ingreso")</f>
        <v>0</v>
      </c>
      <c r="D19" s="2">
        <f>-SUMIFS(Movimientos!$G:$G,Movimientos!$B:$B,A19,Movimientos!$C:$C,"Ahorro")</f>
        <v>0</v>
      </c>
      <c r="E19" s="2">
        <f>-SUMIFS(Movimientos!$G:$G,Movimientos!$B:$B,A19,Movimientos!$C:$C,"Inversión")</f>
        <v>0</v>
      </c>
      <c r="F19" s="20"/>
      <c r="G19" s="20"/>
      <c r="H19" s="20"/>
      <c r="I19" s="20"/>
      <c r="J19" s="20"/>
      <c r="K19" s="20"/>
    </row>
    <row r="20" spans="1:11">
      <c r="A20" s="20" t="str">
        <f>Listas!A20</f>
        <v>julio 2026</v>
      </c>
      <c r="B20" s="2">
        <f>-SUMIFS(Movimientos!$G:$G,Movimientos!$B:$B,A20,Movimientos!$C:$C,"Gasto fijo") - SUMIFS(Movimientos!$G:$G,Movimientos!$B:$B,A20,Movimientos!$C:$C,"Gasto variable")</f>
        <v>0</v>
      </c>
      <c r="C20" s="2">
        <f>SUMIFS(Movimientos!$G:$G,Movimientos!$B:$B,A20,Movimientos!$C:$C,"Ingreso")</f>
        <v>0</v>
      </c>
      <c r="D20" s="2">
        <f>-SUMIFS(Movimientos!$G:$G,Movimientos!$B:$B,A20,Movimientos!$C:$C,"Ahorro")</f>
        <v>0</v>
      </c>
      <c r="E20" s="2">
        <f>-SUMIFS(Movimientos!$G:$G,Movimientos!$B:$B,A20,Movimientos!$C:$C,"Inversión")</f>
        <v>0</v>
      </c>
      <c r="F20" s="20"/>
      <c r="G20" s="20"/>
      <c r="H20" s="20"/>
      <c r="I20" s="20"/>
      <c r="J20" s="20"/>
      <c r="K20" s="20"/>
    </row>
    <row r="21" spans="1:11">
      <c r="A21" s="20" t="str">
        <f>Listas!A21</f>
        <v>agosto 2026</v>
      </c>
      <c r="B21" s="2">
        <f>-SUMIFS(Movimientos!$G:$G,Movimientos!$B:$B,A21,Movimientos!$C:$C,"Gasto fijo") - SUMIFS(Movimientos!$G:$G,Movimientos!$B:$B,A21,Movimientos!$C:$C,"Gasto variable")</f>
        <v>0</v>
      </c>
      <c r="C21" s="2">
        <f>SUMIFS(Movimientos!$G:$G,Movimientos!$B:$B,A21,Movimientos!$C:$C,"Ingreso")</f>
        <v>0</v>
      </c>
      <c r="D21" s="2">
        <f>-SUMIFS(Movimientos!$G:$G,Movimientos!$B:$B,A21,Movimientos!$C:$C,"Ahorro")</f>
        <v>0</v>
      </c>
      <c r="E21" s="2">
        <f>-SUMIFS(Movimientos!$G:$G,Movimientos!$B:$B,A21,Movimientos!$C:$C,"Inversión")</f>
        <v>0</v>
      </c>
      <c r="F21" s="20"/>
      <c r="G21" s="20"/>
      <c r="H21" s="20"/>
      <c r="I21" s="20"/>
      <c r="J21" s="20"/>
      <c r="K21" s="20"/>
    </row>
    <row r="22" spans="1:11">
      <c r="A22" s="20" t="str">
        <f>Listas!A22</f>
        <v>septiembre 2026</v>
      </c>
      <c r="B22" s="2">
        <f>-SUMIFS(Movimientos!$G:$G,Movimientos!$B:$B,A22,Movimientos!$C:$C,"Gasto fijo") - SUMIFS(Movimientos!$G:$G,Movimientos!$B:$B,A22,Movimientos!$C:$C,"Gasto variable")</f>
        <v>0</v>
      </c>
      <c r="C22" s="2">
        <f>SUMIFS(Movimientos!$G:$G,Movimientos!$B:$B,A22,Movimientos!$C:$C,"Ingreso")</f>
        <v>0</v>
      </c>
      <c r="D22" s="2">
        <f>-SUMIFS(Movimientos!$G:$G,Movimientos!$B:$B,A22,Movimientos!$C:$C,"Ahorro")</f>
        <v>0</v>
      </c>
      <c r="E22" s="2">
        <f>-SUMIFS(Movimientos!$G:$G,Movimientos!$B:$B,A22,Movimientos!$C:$C,"Inversión")</f>
        <v>0</v>
      </c>
      <c r="F22" s="20"/>
      <c r="G22" s="20"/>
      <c r="H22" s="1" t="s">
        <v>113</v>
      </c>
      <c r="I22" s="1" t="s">
        <v>109</v>
      </c>
      <c r="J22" s="1" t="s">
        <v>110</v>
      </c>
      <c r="K22" s="1" t="s">
        <v>111</v>
      </c>
    </row>
    <row r="23" spans="1:11">
      <c r="A23" s="20" t="str">
        <f>Listas!A23</f>
        <v>octubre 2026</v>
      </c>
      <c r="B23" s="2">
        <f>-SUMIFS(Movimientos!$G:$G,Movimientos!$B:$B,A23,Movimientos!$C:$C,"Gasto fijo") - SUMIFS(Movimientos!$G:$G,Movimientos!$B:$B,A23,Movimientos!$C:$C,"Gasto variable")</f>
        <v>0</v>
      </c>
      <c r="C23" s="2">
        <f>SUMIFS(Movimientos!$G:$G,Movimientos!$B:$B,A23,Movimientos!$C:$C,"Ingreso")</f>
        <v>0</v>
      </c>
      <c r="D23" s="2">
        <f>-SUMIFS(Movimientos!$G:$G,Movimientos!$B:$B,A23,Movimientos!$C:$C,"Ahorro")</f>
        <v>0</v>
      </c>
      <c r="E23" s="2">
        <f>-SUMIFS(Movimientos!$G:$G,Movimientos!$B:$B,A23,Movimientos!$C:$C,"Inversión")</f>
        <v>0</v>
      </c>
      <c r="F23" s="20"/>
      <c r="G23" s="20"/>
      <c r="H23" s="20">
        <v>2025</v>
      </c>
      <c r="I23" s="2">
        <f>SUM(B2:B13)</f>
        <v>6309.8300000000008</v>
      </c>
      <c r="J23" s="2">
        <f t="shared" ref="J23:K23" si="0">SUM(C2:C13)</f>
        <v>14240.380000000001</v>
      </c>
      <c r="K23" s="2">
        <f t="shared" si="0"/>
        <v>7930.5499999999993</v>
      </c>
    </row>
    <row r="24" spans="1:11">
      <c r="A24" s="20" t="str">
        <f>Listas!A24</f>
        <v>noviembre 2026</v>
      </c>
      <c r="B24" s="2">
        <f>-SUMIFS(Movimientos!$G:$G,Movimientos!$B:$B,A24,Movimientos!$C:$C,"Gasto fijo") - SUMIFS(Movimientos!$G:$G,Movimientos!$B:$B,A24,Movimientos!$C:$C,"Gasto variable")</f>
        <v>0</v>
      </c>
      <c r="C24" s="2">
        <f>SUMIFS(Movimientos!$G:$G,Movimientos!$B:$B,A24,Movimientos!$C:$C,"Ingreso")</f>
        <v>0</v>
      </c>
      <c r="D24" s="2">
        <f>-SUMIFS(Movimientos!$G:$G,Movimientos!$B:$B,A24,Movimientos!$C:$C,"Ahorro")</f>
        <v>0</v>
      </c>
      <c r="E24" s="2">
        <f>-SUMIFS(Movimientos!$G:$G,Movimientos!$B:$B,A24,Movimientos!$C:$C,"Inversión")</f>
        <v>0</v>
      </c>
      <c r="F24" s="20"/>
      <c r="G24" s="20"/>
      <c r="H24" s="20">
        <v>2026</v>
      </c>
      <c r="I24" s="2">
        <f>SUM(B14:B25)</f>
        <v>3742.27</v>
      </c>
      <c r="J24" s="2">
        <f t="shared" ref="J24:K24" si="1">SUM(C14:C25)</f>
        <v>7537.7999999999993</v>
      </c>
      <c r="K24" s="2">
        <f t="shared" si="1"/>
        <v>2234.59</v>
      </c>
    </row>
    <row r="25" spans="1:11">
      <c r="A25" s="20" t="str">
        <f>Listas!A25</f>
        <v>diciembre 2026</v>
      </c>
      <c r="B25" s="2">
        <f>-SUMIFS(Movimientos!$G:$G,Movimientos!$B:$B,A25,Movimientos!$C:$C,"Gasto fijo") - SUMIFS(Movimientos!$G:$G,Movimientos!$B:$B,A25,Movimientos!$C:$C,"Gasto variable")</f>
        <v>0</v>
      </c>
      <c r="C25" s="2">
        <f>SUMIFS(Movimientos!$G:$G,Movimientos!$B:$B,A25,Movimientos!$C:$C,"Ingreso")</f>
        <v>0</v>
      </c>
      <c r="D25" s="2">
        <f>-SUMIFS(Movimientos!$G:$G,Movimientos!$B:$B,A25,Movimientos!$C:$C,"Ahorro")</f>
        <v>0</v>
      </c>
      <c r="E25" s="2">
        <f>-SUMIFS(Movimientos!$G:$G,Movimientos!$B:$B,A25,Movimientos!$C:$C,"Inversión")</f>
        <v>0</v>
      </c>
      <c r="F25" s="20"/>
      <c r="G25" s="20"/>
      <c r="H25" s="20"/>
      <c r="I25" s="20"/>
      <c r="J25" s="20"/>
      <c r="K25" s="20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B1" sqref="B1"/>
    </sheetView>
  </sheetViews>
  <sheetFormatPr defaultColWidth="9.140625" defaultRowHeight="15"/>
  <cols>
    <col min="1" max="4" width="28" customWidth="1"/>
  </cols>
  <sheetData>
    <row r="1" spans="1:4">
      <c r="A1" s="20" t="s">
        <v>114</v>
      </c>
      <c r="B1" s="2">
        <v>2100</v>
      </c>
      <c r="C1" s="20"/>
      <c r="D1" s="20"/>
    </row>
    <row r="3" spans="1:4">
      <c r="A3" s="1" t="s">
        <v>85</v>
      </c>
      <c r="B3" s="1" t="s">
        <v>115</v>
      </c>
      <c r="C3" s="1" t="s">
        <v>116</v>
      </c>
      <c r="D3" s="1" t="s">
        <v>117</v>
      </c>
    </row>
    <row r="4" spans="1:4">
      <c r="A4" s="20" t="s">
        <v>91</v>
      </c>
      <c r="B4" s="20">
        <v>45</v>
      </c>
      <c r="C4" s="2">
        <f>$B$1*B4/100</f>
        <v>945</v>
      </c>
      <c r="D4" s="20" t="str">
        <f>TEXT(B4/100,"0%")&amp;" · "&amp;TEXT(C4,"#,##0.00 €")</f>
        <v>45% · 945,000 €</v>
      </c>
    </row>
    <row r="5" spans="1:4">
      <c r="A5" s="20" t="s">
        <v>92</v>
      </c>
      <c r="B5" s="20">
        <v>25</v>
      </c>
      <c r="C5" s="2">
        <f>$B$1*B5/100</f>
        <v>525</v>
      </c>
      <c r="D5" s="20" t="str">
        <f>TEXT(B5/100,"0%")&amp;" · "&amp;TEXT(C5,"#,##0.00 €")</f>
        <v>25% · 525,000 €</v>
      </c>
    </row>
    <row r="6" spans="1:4">
      <c r="A6" s="20" t="s">
        <v>39</v>
      </c>
      <c r="B6" s="20">
        <v>15</v>
      </c>
      <c r="C6" s="2">
        <f>$B$1*B6/100</f>
        <v>315</v>
      </c>
      <c r="D6" s="20" t="str">
        <f>TEXT(B6/100,"0%")&amp;" · "&amp;TEXT(C6,"#,##0.00 €")</f>
        <v>15% · 315,000 €</v>
      </c>
    </row>
    <row r="7" spans="1:4">
      <c r="A7" s="20" t="s">
        <v>93</v>
      </c>
      <c r="B7" s="20">
        <v>15</v>
      </c>
      <c r="C7" s="2">
        <f>$B$1*B7/100</f>
        <v>315</v>
      </c>
      <c r="D7" s="20" t="str">
        <f>TEXT(B7/100,"0%")&amp;" · "&amp;TEXT(C7,"#,##0.00 €")</f>
        <v>15% · 315,000 €</v>
      </c>
    </row>
    <row r="14" spans="1:4">
      <c r="A14" s="20"/>
      <c r="B14" s="2"/>
      <c r="C14" s="20"/>
      <c r="D14" s="2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>
      <selection activeCell="C2" sqref="C2"/>
    </sheetView>
  </sheetViews>
  <sheetFormatPr defaultColWidth="9.140625" defaultRowHeight="15"/>
  <cols>
    <col min="1" max="9" width="30" customWidth="1"/>
  </cols>
  <sheetData>
    <row r="1" spans="1:9">
      <c r="A1" s="1" t="s">
        <v>118</v>
      </c>
      <c r="B1" s="1" t="s">
        <v>7</v>
      </c>
      <c r="C1" s="1" t="s">
        <v>11</v>
      </c>
      <c r="D1" s="1" t="s">
        <v>18</v>
      </c>
      <c r="E1" s="1" t="s">
        <v>39</v>
      </c>
      <c r="F1" s="1" t="s">
        <v>93</v>
      </c>
      <c r="G1" s="1" t="s">
        <v>119</v>
      </c>
      <c r="H1" s="1" t="s">
        <v>120</v>
      </c>
      <c r="I1" s="1" t="s">
        <v>121</v>
      </c>
    </row>
    <row r="2" spans="1:9">
      <c r="A2" s="20" t="s">
        <v>122</v>
      </c>
      <c r="B2" s="20" t="s">
        <v>59</v>
      </c>
      <c r="C2" s="20" t="s">
        <v>12</v>
      </c>
      <c r="D2" s="20" t="s">
        <v>33</v>
      </c>
      <c r="E2" s="20" t="s">
        <v>40</v>
      </c>
      <c r="F2" s="20" t="s">
        <v>123</v>
      </c>
      <c r="G2" s="20" t="s">
        <v>10</v>
      </c>
      <c r="H2" s="20" t="s">
        <v>124</v>
      </c>
      <c r="I2" s="20" t="s">
        <v>7</v>
      </c>
    </row>
    <row r="3" spans="1:9">
      <c r="A3" s="20" t="s">
        <v>125</v>
      </c>
      <c r="B3" s="20" t="s">
        <v>126</v>
      </c>
      <c r="C3" s="20" t="s">
        <v>127</v>
      </c>
      <c r="D3" s="20" t="s">
        <v>53</v>
      </c>
      <c r="E3" s="20" t="s">
        <v>128</v>
      </c>
      <c r="F3" s="20" t="s">
        <v>129</v>
      </c>
      <c r="G3" s="20" t="s">
        <v>45</v>
      </c>
      <c r="H3" s="20" t="s">
        <v>130</v>
      </c>
      <c r="I3" s="20" t="s">
        <v>11</v>
      </c>
    </row>
    <row r="4" spans="1:9">
      <c r="A4" s="20" t="s">
        <v>131</v>
      </c>
      <c r="B4" s="20" t="s">
        <v>70</v>
      </c>
      <c r="C4" s="20" t="s">
        <v>132</v>
      </c>
      <c r="D4" s="20" t="s">
        <v>133</v>
      </c>
      <c r="E4" s="20" t="s">
        <v>134</v>
      </c>
      <c r="F4" s="20" t="s">
        <v>135</v>
      </c>
      <c r="G4" s="20" t="s">
        <v>136</v>
      </c>
      <c r="H4" s="20" t="s">
        <v>137</v>
      </c>
      <c r="I4" s="20" t="s">
        <v>18</v>
      </c>
    </row>
    <row r="5" spans="1:9">
      <c r="A5" s="20" t="s">
        <v>138</v>
      </c>
      <c r="B5" s="20" t="s">
        <v>63</v>
      </c>
      <c r="C5" s="20" t="s">
        <v>139</v>
      </c>
      <c r="D5" s="20" t="s">
        <v>23</v>
      </c>
      <c r="E5" s="20" t="s">
        <v>140</v>
      </c>
      <c r="F5" s="20" t="s">
        <v>141</v>
      </c>
      <c r="G5" s="20" t="s">
        <v>142</v>
      </c>
      <c r="H5" s="20" t="s">
        <v>143</v>
      </c>
      <c r="I5" s="20" t="s">
        <v>39</v>
      </c>
    </row>
    <row r="6" spans="1:9">
      <c r="A6" s="20" t="s">
        <v>144</v>
      </c>
      <c r="B6" s="20" t="s">
        <v>42</v>
      </c>
      <c r="C6" s="20" t="s">
        <v>15</v>
      </c>
      <c r="D6" s="20" t="s">
        <v>21</v>
      </c>
      <c r="E6" s="20" t="s">
        <v>145</v>
      </c>
      <c r="F6" s="20" t="s">
        <v>146</v>
      </c>
      <c r="G6" s="20" t="s">
        <v>147</v>
      </c>
      <c r="H6" s="20" t="s">
        <v>148</v>
      </c>
      <c r="I6" s="20" t="s">
        <v>93</v>
      </c>
    </row>
    <row r="7" spans="1:9">
      <c r="A7" s="20" t="s">
        <v>149</v>
      </c>
      <c r="B7" s="20"/>
      <c r="C7" s="20" t="s">
        <v>28</v>
      </c>
      <c r="D7" s="20" t="s">
        <v>66</v>
      </c>
      <c r="E7" s="20"/>
      <c r="F7" s="20" t="s">
        <v>150</v>
      </c>
      <c r="G7" s="20"/>
      <c r="H7" s="20" t="s">
        <v>151</v>
      </c>
      <c r="I7" s="20"/>
    </row>
    <row r="8" spans="1:9">
      <c r="A8" s="20" t="s">
        <v>152</v>
      </c>
      <c r="B8" s="20"/>
      <c r="C8" s="20" t="s">
        <v>153</v>
      </c>
      <c r="D8" s="20" t="s">
        <v>81</v>
      </c>
      <c r="E8" s="20"/>
      <c r="F8" s="20"/>
      <c r="G8" s="20"/>
      <c r="H8" s="20" t="s">
        <v>154</v>
      </c>
      <c r="I8" s="20"/>
    </row>
    <row r="9" spans="1:9">
      <c r="A9" s="20" t="s">
        <v>155</v>
      </c>
      <c r="B9" s="20"/>
      <c r="C9" s="20" t="s">
        <v>50</v>
      </c>
      <c r="D9" s="20" t="s">
        <v>61</v>
      </c>
      <c r="E9" s="20"/>
      <c r="F9" s="20"/>
      <c r="G9" s="20"/>
      <c r="H9" s="20" t="s">
        <v>156</v>
      </c>
      <c r="I9" s="20"/>
    </row>
    <row r="10" spans="1:9">
      <c r="A10" s="20" t="s">
        <v>99</v>
      </c>
      <c r="B10" s="20"/>
      <c r="C10" s="20" t="s">
        <v>16</v>
      </c>
      <c r="D10" s="20" t="s">
        <v>157</v>
      </c>
      <c r="E10" s="20"/>
      <c r="F10" s="20"/>
      <c r="G10" s="20"/>
      <c r="H10" s="20" t="s">
        <v>158</v>
      </c>
      <c r="I10" s="20"/>
    </row>
    <row r="11" spans="1:9">
      <c r="A11" s="20" t="s">
        <v>159</v>
      </c>
      <c r="B11" s="20"/>
      <c r="C11" s="20" t="s">
        <v>14</v>
      </c>
      <c r="D11" s="20" t="s">
        <v>77</v>
      </c>
      <c r="E11" s="20"/>
      <c r="F11" s="20"/>
      <c r="G11" s="20"/>
      <c r="H11" s="20" t="s">
        <v>160</v>
      </c>
      <c r="I11" s="20"/>
    </row>
    <row r="12" spans="1:9">
      <c r="A12" s="20" t="s">
        <v>161</v>
      </c>
      <c r="B12" s="20"/>
      <c r="C12" s="20" t="s">
        <v>27</v>
      </c>
      <c r="D12" s="20" t="s">
        <v>25</v>
      </c>
      <c r="E12" s="20"/>
      <c r="F12" s="20"/>
      <c r="G12" s="20"/>
      <c r="H12" s="20" t="s">
        <v>162</v>
      </c>
      <c r="I12" s="20"/>
    </row>
    <row r="13" spans="1:9">
      <c r="A13" s="20" t="s">
        <v>163</v>
      </c>
      <c r="B13" s="20"/>
      <c r="C13" s="20" t="s">
        <v>29</v>
      </c>
      <c r="D13" s="20" t="s">
        <v>19</v>
      </c>
      <c r="E13" s="20"/>
      <c r="F13" s="20"/>
      <c r="G13" s="20"/>
      <c r="H13" s="20" t="s">
        <v>164</v>
      </c>
      <c r="I13" s="20"/>
    </row>
    <row r="14" spans="1:9">
      <c r="A14" s="20" t="s">
        <v>165</v>
      </c>
      <c r="B14" s="20"/>
      <c r="C14" s="20"/>
      <c r="D14" s="20" t="s">
        <v>26</v>
      </c>
      <c r="E14" s="20"/>
      <c r="F14" s="20"/>
      <c r="G14" s="20"/>
      <c r="H14" s="20"/>
      <c r="I14" s="20"/>
    </row>
    <row r="15" spans="1:9">
      <c r="A15" s="20" t="s">
        <v>166</v>
      </c>
      <c r="B15" s="20"/>
      <c r="C15" s="20"/>
      <c r="D15" s="20" t="s">
        <v>32</v>
      </c>
      <c r="E15" s="20"/>
      <c r="F15" s="20"/>
      <c r="G15" s="20"/>
      <c r="H15" s="20"/>
      <c r="I15" s="20"/>
    </row>
    <row r="16" spans="1:9">
      <c r="A16" s="20" t="s">
        <v>84</v>
      </c>
      <c r="B16" s="20"/>
      <c r="C16" s="20"/>
      <c r="D16" s="20"/>
      <c r="E16" s="20"/>
      <c r="F16" s="20"/>
      <c r="G16" s="20"/>
      <c r="H16" s="20"/>
      <c r="I16" s="20"/>
    </row>
    <row r="17" spans="1:1">
      <c r="A17" s="20" t="s">
        <v>167</v>
      </c>
    </row>
    <row r="18" spans="1:1">
      <c r="A18" s="20" t="s">
        <v>168</v>
      </c>
    </row>
    <row r="19" spans="1:1">
      <c r="A19" s="20" t="s">
        <v>169</v>
      </c>
    </row>
    <row r="20" spans="1:1">
      <c r="A20" s="20" t="s">
        <v>170</v>
      </c>
    </row>
    <row r="21" spans="1:1">
      <c r="A21" s="20" t="s">
        <v>171</v>
      </c>
    </row>
    <row r="22" spans="1:1">
      <c r="A22" s="20" t="s">
        <v>172</v>
      </c>
    </row>
    <row r="23" spans="1:1">
      <c r="A23" s="20" t="s">
        <v>173</v>
      </c>
    </row>
    <row r="24" spans="1:1">
      <c r="A24" s="20" t="s">
        <v>174</v>
      </c>
    </row>
    <row r="25" spans="1:1">
      <c r="A25" s="20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Antonio Seco Jimenez</cp:lastModifiedBy>
  <cp:revision/>
  <dcterms:created xsi:type="dcterms:W3CDTF">2025-09-01T21:57:29Z</dcterms:created>
  <dcterms:modified xsi:type="dcterms:W3CDTF">2026-03-09T20:28:24Z</dcterms:modified>
  <cp:category/>
  <cp:contentStatus/>
</cp:coreProperties>
</file>